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ohda\Downloads\"/>
    </mc:Choice>
  </mc:AlternateContent>
  <xr:revisionPtr revIDLastSave="0" documentId="13_ncr:1_{32D9AB9E-6DA2-4202-B2C8-2590BB0DE612}" xr6:coauthVersionLast="47" xr6:coauthVersionMax="47" xr10:uidLastSave="{00000000-0000-0000-0000-000000000000}"/>
  <bookViews>
    <workbookView xWindow="4110" yWindow="4110" windowWidth="21600" windowHeight="11295" activeTab="1" xr2:uid="{00000000-000D-0000-FFFF-FFFF00000000}"/>
  </bookViews>
  <sheets>
    <sheet name="جدول البنود المستقلة" sheetId="1" r:id="rId1"/>
    <sheet name="جدول مضخات الحري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2" i="2" l="1"/>
  <c r="K161" i="1"/>
  <c r="K160" i="1"/>
  <c r="K159" i="1"/>
  <c r="K158" i="1"/>
  <c r="K157" i="1"/>
  <c r="K162" i="1" s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<sst xmlns="http://schemas.openxmlformats.org/spreadsheetml/2006/main" count="1360" uniqueCount="444">
  <si>
    <t>دليل البنود والأجهزة المستقلة لأنظمة السلامة والإطفاء والإنذار والتهوية</t>
  </si>
  <si>
    <t>حصر تفصيلي شامل لكافة القطع والأجهزة والمعدات الواردة في عروض الأسعار والمراجع المرفقة</t>
  </si>
  <si>
    <t>برج طويق (إبراهيم بن عبدالله)</t>
  </si>
  <si>
    <t>شركة شاجي</t>
  </si>
  <si>
    <t>لوحة تحكم معنونة 6 لوب</t>
  </si>
  <si>
    <t>إنذار الحريق</t>
  </si>
  <si>
    <t>GENT / ZETA</t>
  </si>
  <si>
    <t>لوحة رئيسية معنونة 6 مناطق</t>
  </si>
  <si>
    <t>لوحة</t>
  </si>
  <si>
    <t>Ref/Proj25-23</t>
  </si>
  <si>
    <t>لوحة تحكم تكرارية</t>
  </si>
  <si>
    <t>لوحة تكرار شاشة LCD</t>
  </si>
  <si>
    <t>وحدة كومبيوتر + شاشة + طابعة</t>
  </si>
  <si>
    <t>معتمدة</t>
  </si>
  <si>
    <t>محطة مراقبة وتأريض مراقبة</t>
  </si>
  <si>
    <t>طقم</t>
  </si>
  <si>
    <t>كواشف دخان معنونة</t>
  </si>
  <si>
    <t>GENT / ZETA (EN54)</t>
  </si>
  <si>
    <t>كاشف دخان ضوئي ذكي</t>
  </si>
  <si>
    <t>قطعة</t>
  </si>
  <si>
    <t>سارينا مع فلاشر خارجية</t>
  </si>
  <si>
    <t>صوتية وضوئية مقاومة للعوامل الجوية</t>
  </si>
  <si>
    <t>وحدات مراقبة MM معنونة</t>
  </si>
  <si>
    <t>Monitor Module معنونة</t>
  </si>
  <si>
    <t>وحدات تحكم CM معنونة</t>
  </si>
  <si>
    <t>Control Module معنونة</t>
  </si>
  <si>
    <t>وحدات ربط IFU معنونة</t>
  </si>
  <si>
    <t>Interface Module معنونة</t>
  </si>
  <si>
    <t>لمبات إنارة الطوارئ الاحتياطية</t>
  </si>
  <si>
    <t>السلامة المعمارية</t>
  </si>
  <si>
    <t>KHIND</t>
  </si>
  <si>
    <t>إنارة طوارئ LED مع بطارية</t>
  </si>
  <si>
    <t>علامات خروج احتياطية</t>
  </si>
  <si>
    <t>لوحات مخرج طوارئ وجهين</t>
  </si>
  <si>
    <t>علامات خروج اتجاهية</t>
  </si>
  <si>
    <t>لوحات مخرج طوارئ اتجاهية</t>
  </si>
  <si>
    <t>عسكري حريق 4 بوصة شامل محبس عدم رجوع</t>
  </si>
  <si>
    <t>إطفاء الحريق</t>
  </si>
  <si>
    <t>معتمد</t>
  </si>
  <si>
    <t>صنبور إطفاء مع المحبس</t>
  </si>
  <si>
    <t>نظام إطفاء بالغاز FM-200 لغرف الكهرباء</t>
  </si>
  <si>
    <t>أنظمة الإطفاء الخاصة</t>
  </si>
  <si>
    <t>TYCO / SAFETY HI-TECH</t>
  </si>
  <si>
    <t>نظام إغراق كلي بالغاز</t>
  </si>
  <si>
    <t>مقطوعية</t>
  </si>
  <si>
    <t>نظام إطفاء بالفوم FOAM SYSTEM لغرف السخانات</t>
  </si>
  <si>
    <t>خزان فوم ومضخة ومحابس</t>
  </si>
  <si>
    <t>نظام إخماد حريق المطابخ KITCHEN HOODS</t>
  </si>
  <si>
    <t>ANSUL / PYRO-CHEM</t>
  </si>
  <si>
    <t>أسطوانات ورشاشات وبنسات</t>
  </si>
  <si>
    <t>طقم مضخات حريق رئيسية 1000 GPM</t>
  </si>
  <si>
    <t>مضخات الحريق</t>
  </si>
  <si>
    <t>DFS / SMI (UL/FM)</t>
  </si>
  <si>
    <t>1000 GPM @ 18 bar (كهرباء+ديزل+جوكي)</t>
  </si>
  <si>
    <t>طقم مضخات حريق فرعية 750 GPM</t>
  </si>
  <si>
    <t>750 GPM @ 9 bar (كهرباء+ديزل+جوكي)</t>
  </si>
  <si>
    <t>مروحة سحب دخان CFM 30000</t>
  </si>
  <si>
    <t>التهوية وسحب الدخان</t>
  </si>
  <si>
    <t>روزنبرج فالفنت / Rozenberg</t>
  </si>
  <si>
    <t>تحمل 300 درجة / ساعتين</t>
  </si>
  <si>
    <t>عدد</t>
  </si>
  <si>
    <t>مروحة سحب دخان CFM 20000</t>
  </si>
  <si>
    <t>مروحة سحب دخان CFM 18400/11050</t>
  </si>
  <si>
    <t>سرعتين تحمل 300 درجة / ساعتين</t>
  </si>
  <si>
    <t>مروحة سحب دخان CFM 22660/13600</t>
  </si>
  <si>
    <t>مروحة التهوية CFM 17000</t>
  </si>
  <si>
    <t>مروحة تهوية نقية</t>
  </si>
  <si>
    <t>مروحة التهوية CFM 19000/11400</t>
  </si>
  <si>
    <t>مروحة تضغيط الساللم CFM 26000</t>
  </si>
  <si>
    <t>مروحة تضغيط سلالم طوارئ</t>
  </si>
  <si>
    <t>مروحة تضغيط المصاعد CFM 25000</t>
  </si>
  <si>
    <t>مروحة تضغيط آبار مصاعد</t>
  </si>
  <si>
    <t>Motorized Fire smoke Damper</t>
  </si>
  <si>
    <t>معتمد UL Listed</t>
  </si>
  <si>
    <t>مخمد دخان وحريق آلي</t>
  </si>
  <si>
    <t>برج طويق (شركة المهيدب)</t>
  </si>
  <si>
    <t>شركة المهيدب</t>
  </si>
  <si>
    <t>مضخة حريق كهربائية 1000 GPM + ديزل + جوكي</t>
  </si>
  <si>
    <t>SMI (UL/FM)</t>
  </si>
  <si>
    <t>Horizontal Split Case 1000 GPM @ 18 BAR</t>
  </si>
  <si>
    <t>QT26-1-1437</t>
  </si>
  <si>
    <t>مضخة حريق كهربائية 750 GPM + ديزل + جوكي</t>
  </si>
  <si>
    <t>End Suction 750 GPM @ 10 BAR</t>
  </si>
  <si>
    <t>مجموعة محبس إنذار ميكانيكي أفقي 200 مم 300 psi</t>
  </si>
  <si>
    <t>TYCO (UL/FM)</t>
  </si>
  <si>
    <t>Alarm Control Valve 8 بوصة</t>
  </si>
  <si>
    <t>مجموعة محبس إنذار ميكانيكي رأسي 200 مم 400 psi</t>
  </si>
  <si>
    <t>Angel hose valve with Embedded PRV 2.5"</t>
  </si>
  <si>
    <t>Giacomini</t>
  </si>
  <si>
    <t>محبس حريق بتخفيض ضغط</t>
  </si>
  <si>
    <t>Fire hydrant Morris 6" (4*2.5*2.5)</t>
  </si>
  <si>
    <t>Morris (UL/FM)</t>
  </si>
  <si>
    <t>صنبور إطفاء خارجي مع الملحقات</t>
  </si>
  <si>
    <t>Co2 PORTABLE FIRE EXTINGUISHER 6 KG</t>
  </si>
  <si>
    <t>طفايات الحريق</t>
  </si>
  <si>
    <t>طفاية ثاني أكسيد الكربون 6 كجم</t>
  </si>
  <si>
    <t>FOAM FIRE EXTINGUISHER 10L</t>
  </si>
  <si>
    <t>طفاية رغوة فوم 10 لتر</t>
  </si>
  <si>
    <t>Automatic FM200 fire extinguisher 12 kg</t>
  </si>
  <si>
    <t>طفاية غاز تلقائية للأسقف 12 كجم</t>
  </si>
  <si>
    <t>CONSEALED PENDENT SPK K5.6 68c</t>
  </si>
  <si>
    <t>رشاشات الحريق</t>
  </si>
  <si>
    <t>Tyco / Simplex</t>
  </si>
  <si>
    <t>رشاش مخفي K5.6 حرارة 68C</t>
  </si>
  <si>
    <t>CONSEALED PENDENT SPK K5.6 93c</t>
  </si>
  <si>
    <t>رشاش مخفي K5.6 حرارة 93C</t>
  </si>
  <si>
    <t>CONSEALED PENDENT SPK K8 68c</t>
  </si>
  <si>
    <t>رشاش مخفي K8 حرارة 68C</t>
  </si>
  <si>
    <t>Side-wall SPRINKLER EXTENDED COVERAGE 68c</t>
  </si>
  <si>
    <t>رشاش جداري تغطية ممتدة</t>
  </si>
  <si>
    <t>FM200 System cylinder 16kg</t>
  </si>
  <si>
    <t>HI-TECH (UL/FM)</t>
  </si>
  <si>
    <t>أسطوانة غاز إطفاء نظيف 16 كجم</t>
  </si>
  <si>
    <t>FM200 System cylinder 22kg</t>
  </si>
  <si>
    <t>أسطوانة غاز إطفاء نظيف 22 كجم</t>
  </si>
  <si>
    <t>FM200 System cylinder 40kg</t>
  </si>
  <si>
    <t>أسطوانة غاز إطفاء نظيف 40 كجم</t>
  </si>
  <si>
    <t>FM200 System cylinder 50kg</t>
  </si>
  <si>
    <t>أسطوانة غاز إطفاء نظيف 50 كجم</t>
  </si>
  <si>
    <t>Hood System cylinder 10 lit</t>
  </si>
  <si>
    <t>نظام إخماد حريق المطابخ 10 لتر</t>
  </si>
  <si>
    <t>EMERGANCY DOOR 220*100 CM</t>
  </si>
  <si>
    <t>UL Listed</t>
  </si>
  <si>
    <t>باب طوارئ درفة واحدة مقاوم للحريق</t>
  </si>
  <si>
    <t>Fire Alarm Control Panel (4 LOOP)</t>
  </si>
  <si>
    <t>Simplex (USA)</t>
  </si>
  <si>
    <t>لوحة تحكم معنونة 4 لووب</t>
  </si>
  <si>
    <t>Fire Alarm Control Panel (16 LOOP)</t>
  </si>
  <si>
    <t>لوحة تحكم معنونة 16 لووب</t>
  </si>
  <si>
    <t>FACP programming for panels</t>
  </si>
  <si>
    <t>Simplex</t>
  </si>
  <si>
    <t>برمجة لوحات الإنذار الرئيسية</t>
  </si>
  <si>
    <t>Heat detector, with detector base</t>
  </si>
  <si>
    <t>كاشف حرارة مع القاعدة</t>
  </si>
  <si>
    <t>Optical Sidewall Smoke Detector Sounder Base</t>
  </si>
  <si>
    <t>كاشف دخان جداري مع قاعدة صوتية</t>
  </si>
  <si>
    <t>Optical Ceilling Smoke Detector</t>
  </si>
  <si>
    <t>كاشف دخان سقفي معنون</t>
  </si>
  <si>
    <t>Multi detector with detector base</t>
  </si>
  <si>
    <t>كاشف متعدد الحساسية مع القاعدة</t>
  </si>
  <si>
    <t>Manual Call Point</t>
  </si>
  <si>
    <t>كاسر زجاجي يدوي معنون</t>
  </si>
  <si>
    <t>Alarm Bell</t>
  </si>
  <si>
    <t>جرس إنذار حريق</t>
  </si>
  <si>
    <t>sounder &amp; flasher red plastic white flash</t>
  </si>
  <si>
    <t>صفارة مع فلاشر أحمر معنونة</t>
  </si>
  <si>
    <t>Weatherproof sounder flasher red</t>
  </si>
  <si>
    <t>صفارة مع فلاشر مقاومة للطقس</t>
  </si>
  <si>
    <t>Beam detector (Fireray one)</t>
  </si>
  <si>
    <t>Fireray One (UL)</t>
  </si>
  <si>
    <t>كاشف دخان شعاعي إرسال واستقبال</t>
  </si>
  <si>
    <t>Control Module</t>
  </si>
  <si>
    <t>وحدة تحكم معنونة</t>
  </si>
  <si>
    <t>Monitor Module</t>
  </si>
  <si>
    <t>وحدة مراقبة معنونة</t>
  </si>
  <si>
    <t>Interface Module</t>
  </si>
  <si>
    <t>وحدة واجهة وتوصيل معنونة</t>
  </si>
  <si>
    <t>LED EMERGENCY LIGHTING WITH BATTARY</t>
  </si>
  <si>
    <t>Malaysia</t>
  </si>
  <si>
    <t>كشاف إضاءة طوارئ LED ببطارية</t>
  </si>
  <si>
    <t>ILLUMINATED EXIT SIGN DOUBLE FACE</t>
  </si>
  <si>
    <t>لوحة مخرج مضيئة وجهين</t>
  </si>
  <si>
    <t>Directional EXIT SIGNS</t>
  </si>
  <si>
    <t>لوحة مخرج مضيئة اتجاهية</t>
  </si>
  <si>
    <t>Carbon Monoxide Monitor Panel 4 ZONE</t>
  </si>
  <si>
    <t>غاز أول أكسيد الكربون</t>
  </si>
  <si>
    <t>لوحة تحكم كشف غاز CO 4 مناطق</t>
  </si>
  <si>
    <t>Co detector, with detector base</t>
  </si>
  <si>
    <t>كاشف غاز أول أكسيد الكربون</t>
  </si>
  <si>
    <t>المباني الإدارية بمدينة الباحة</t>
  </si>
  <si>
    <t>مؤسسة أسس السلامة</t>
  </si>
  <si>
    <t>Addressable Fire Alarm Panel 6 Loops</t>
  </si>
  <si>
    <t>لوحة تحكم معنونة 6 لووب</t>
  </si>
  <si>
    <t>QTN/OS-327</t>
  </si>
  <si>
    <t>Laboratory approved smoke detector</t>
  </si>
  <si>
    <t>UL / FM</t>
  </si>
  <si>
    <t>كاشف دخان معنون ذكي</t>
  </si>
  <si>
    <t>Laboratory-certified thermal detector</t>
  </si>
  <si>
    <t>كاشف حرارة معنون ذكي</t>
  </si>
  <si>
    <t>Two-stage type glass breaker manual call point</t>
  </si>
  <si>
    <t>كاسر زجاجي يدوي مرحلتين</t>
  </si>
  <si>
    <t>Manual call point alarm bell 110 dB</t>
  </si>
  <si>
    <t>كاسر زجاج مع جرس إنذار 110 ديسيبل</t>
  </si>
  <si>
    <t>External siren with optical flash</t>
  </si>
  <si>
    <t>صفارة إنذار خارجية ضوئية وصوتية</t>
  </si>
  <si>
    <t>Automated communication unit (10 numbers)</t>
  </si>
  <si>
    <t>جهاز اتصال أوتوماتيكي لطوارئ الحريق</t>
  </si>
  <si>
    <t>Emergency doors 60 minutes fire-resistant</t>
  </si>
  <si>
    <t>UL (NFPA 80)</t>
  </si>
  <si>
    <t>أبواب طوارئ مقاومة للحريق 60 دقيقة</t>
  </si>
  <si>
    <t>م2</t>
  </si>
  <si>
    <t>Sensor and bell for emergency door</t>
  </si>
  <si>
    <t>حساس وجرس تنبيه فتح أبواب الطوارئ</t>
  </si>
  <si>
    <t>Emergency lighting 55 watts (2 hours)</t>
  </si>
  <si>
    <t>المواصفات السعودية</t>
  </si>
  <si>
    <t>كشاف إضاءة طوارئ 55 واط</t>
  </si>
  <si>
    <t>Instructional signs indicating emergency exits</t>
  </si>
  <si>
    <t>لوحة إرشادية مضيئة لمخارج الطوارئ</t>
  </si>
  <si>
    <t>Set of six fire pumps 150 GPM @ 10 bar</t>
  </si>
  <si>
    <t>طقم مضخات حريق 150 جالون/دقيقة</t>
  </si>
  <si>
    <t>Set of six fire pumps 250 GPM @ 10 bar</t>
  </si>
  <si>
    <t>طقم مضخات حريق 250 جالون/دقيقة</t>
  </si>
  <si>
    <t>Set of six fire pumps 500 GPM @ 10 bar</t>
  </si>
  <si>
    <t>طقم مضخات حريق 500 جالون/دقيقة</t>
  </si>
  <si>
    <t>6-inch gate valve (OS&amp;Y)</t>
  </si>
  <si>
    <t>محبس بوابة OS&amp;Y مقاس 6 بوصة</t>
  </si>
  <si>
    <t>4-inch gate valve (OS&amp;Y)</t>
  </si>
  <si>
    <t>محبس بوابة OS&amp;Y مقاس 4 بوصة</t>
  </si>
  <si>
    <t>3-inch gate valve (OS&amp;Y)</t>
  </si>
  <si>
    <t>محبس بوابة OS&amp;Y مقاس 3 بوصة</t>
  </si>
  <si>
    <t>2.5-inch gate valve (OS&amp;Y)</t>
  </si>
  <si>
    <t>محبس بوابة OS&amp;Y مقاس 2.5 بوصة</t>
  </si>
  <si>
    <t>Civil Defense Connection 2.5"*2.5"*4"</t>
  </si>
  <si>
    <t>وصلة دفاع مدني سياميز</t>
  </si>
  <si>
    <t>Air Vent Valve 1"</t>
  </si>
  <si>
    <t>صمام تنفيس هواء أوتوماتيكي</t>
  </si>
  <si>
    <t>Test and Drain Valve</t>
  </si>
  <si>
    <t>محبس اختبار وتصريف مع زجاجة بيان</t>
  </si>
  <si>
    <t>Flow Switch 2.5-inch</t>
  </si>
  <si>
    <t>مفتاح تدفق مياه 2.5 بوصة</t>
  </si>
  <si>
    <t>Flow Switch 4-inch</t>
  </si>
  <si>
    <t>مفتاح تدفق مياه 4 بوصة</t>
  </si>
  <si>
    <t>Flow Switch 6-inch</t>
  </si>
  <si>
    <t>مفتاح تدفق مياه 6 بوصة</t>
  </si>
  <si>
    <t>Alarm Check Valve 4-inch</t>
  </si>
  <si>
    <t>مجموعة محبس إنذار مائي 4 بوصة</t>
  </si>
  <si>
    <t>Alarm Check Valve 6-inch</t>
  </si>
  <si>
    <t>مجموعة محبس إنذار مائي 6 بوصة</t>
  </si>
  <si>
    <t>Reference Control Valve (ZCV) 6-inch</t>
  </si>
  <si>
    <t>مجموعة صمام تحكم بالمنطقة ZCV 6 بوصة</t>
  </si>
  <si>
    <t>Stainless steel firebox water (FHC)</t>
  </si>
  <si>
    <t>Chromed Stainless</t>
  </si>
  <si>
    <t>صندوق حريق استنلس استيل خرطوم+طفاية</t>
  </si>
  <si>
    <t>Portable dry chemical fire extinguisher 6 kg</t>
  </si>
  <si>
    <t>طفاية بودرة جافة 6 كجم</t>
  </si>
  <si>
    <t>CO2 fire extinguisher 6 kg</t>
  </si>
  <si>
    <t>Approved foam fire extinguisher 6 kg</t>
  </si>
  <si>
    <t>طفاية رغوة فوم أوتوماتيكية</t>
  </si>
  <si>
    <t>مبنى المقر الرئيسي لشركة ابن سعيدان</t>
  </si>
  <si>
    <t>Simplex FACP 2 Loop UL Listed</t>
  </si>
  <si>
    <t>لوحة تحكم إنذار معنونة 2 لوب</t>
  </si>
  <si>
    <t>Div 16</t>
  </si>
  <si>
    <t>Simplex Fire Alarm Repeater Panel</t>
  </si>
  <si>
    <t>لوحة تكرارية لشاشة الإنذار</t>
  </si>
  <si>
    <t>Addressable Photoelectric Smoke Detector</t>
  </si>
  <si>
    <t>EN54 / UL / VdS</t>
  </si>
  <si>
    <t>كاشف دخان ضوئي ذكي مع القاعدة</t>
  </si>
  <si>
    <t>Addressable Manual Call Point</t>
  </si>
  <si>
    <t>Addressable Fault Isolator</t>
  </si>
  <si>
    <t>وحدة عزل الأعطال معنونة</t>
  </si>
  <si>
    <t>Addressable Monitor Module</t>
  </si>
  <si>
    <t>Addressable Control Module</t>
  </si>
  <si>
    <t>وحدة تحكم أوتوماتيكية معنونة</t>
  </si>
  <si>
    <t>Response Indicator Assembly</t>
  </si>
  <si>
    <t>لمبة بيان جدارية / سقفي</t>
  </si>
  <si>
    <t>Strobes Cum Dual Tone Hooter 103dB</t>
  </si>
  <si>
    <t>EN54 / VdS</t>
  </si>
  <si>
    <t>صفارة إنذار مع فلاشر معنونة</t>
  </si>
  <si>
    <t>Power Supply 6A 24V DC for Strobes</t>
  </si>
  <si>
    <t>وحدة تغذية كهربائية للصفارات</t>
  </si>
  <si>
    <t>DVC 12 zone control with Network Card</t>
  </si>
  <si>
    <t>الإخلاء الصوتي</t>
  </si>
  <si>
    <t>Networkable DVC</t>
  </si>
  <si>
    <t>لوحة الإخلاء الصوتي ونداء الحريق</t>
  </si>
  <si>
    <t>Digital Amplifier 50 Watts</t>
  </si>
  <si>
    <t>Addressable</t>
  </si>
  <si>
    <t>مكبر صوت رقمي 50 واط</t>
  </si>
  <si>
    <t>Ceiling Mounted Speaker 2W</t>
  </si>
  <si>
    <t>78dB-90dB</t>
  </si>
  <si>
    <t>سماعة سقفية 2 واط مع صندوق</t>
  </si>
  <si>
    <t>Fire Fighters Telephone Jack</t>
  </si>
  <si>
    <t>2-way comm</t>
  </si>
  <si>
    <t>منفذ هاتف رجال الإطفاء</t>
  </si>
  <si>
    <t>Fire Fighters Handset</t>
  </si>
  <si>
    <t>سماعة هاتف رجال الإطفاء</t>
  </si>
  <si>
    <t>LED Emergency / Exit Lights</t>
  </si>
  <si>
    <t>SBC 801 / SASO</t>
  </si>
  <si>
    <t>كشاف إضاءة / مخرج طوارئ</t>
  </si>
  <si>
    <t>M.S. Hose Cabinet Stand Mounted 40mm</t>
  </si>
  <si>
    <t>Red Powder Coated</t>
  </si>
  <si>
    <t>صندوق حريق خارجي مع الخرطوم</t>
  </si>
  <si>
    <t>Div 11</t>
  </si>
  <si>
    <t>Zone (Floor) Control Valve Assembly</t>
  </si>
  <si>
    <t>UL / FM (300 psi)</t>
  </si>
  <si>
    <t>طقم صمام تحكم بالمنطقة ZCV</t>
  </si>
  <si>
    <t>مشروع SPARK (مدينة سلمان للطاقة)</t>
  </si>
  <si>
    <t>SHIELD1230 Cylinder Assembly 227L</t>
  </si>
  <si>
    <t>إطفاء الغاز النظيف</t>
  </si>
  <si>
    <t>أسطوانة غاز نوفييك 227 لتر مع المحبس</t>
  </si>
  <si>
    <t>SPARK NOVEC</t>
  </si>
  <si>
    <t>Extinguishing Agent NOVEC1230</t>
  </si>
  <si>
    <t>غاز الإطفاء النظيف NOVEC1230</t>
  </si>
  <si>
    <t>كجم</t>
  </si>
  <si>
    <t>Removable Electric Actuator 1"</t>
  </si>
  <si>
    <t>مشغل كهربائي مع مفتاح مراقبة</t>
  </si>
  <si>
    <t>Manual Actuator Push to Operate</t>
  </si>
  <si>
    <t>مشغل يدوائي لأسطوانة الغاز</t>
  </si>
  <si>
    <t>Discharge Pressure Switch 1/2" NPT</t>
  </si>
  <si>
    <t>Brass Body 200 bar</t>
  </si>
  <si>
    <t>مفتاح ضغط التفريغ</t>
  </si>
  <si>
    <t>HFC-227 Discharge Nozzle</t>
  </si>
  <si>
    <t>نوزل تفريغ الغاز</t>
  </si>
  <si>
    <t>Conventional Extinguishing Control Panel 230V</t>
  </si>
  <si>
    <t>UL Listed (Red-Shield)</t>
  </si>
  <si>
    <t>لوحة تحكم إطفاء بالغاز تقليدية</t>
  </si>
  <si>
    <t>Extinguishing Abort Switch</t>
  </si>
  <si>
    <t>مفتاح إيقاف وتأخير التفريغ</t>
  </si>
  <si>
    <t>Safety Hi-Tech FM200 Cylinder 175L</t>
  </si>
  <si>
    <t>UL / FM (SHG250180)</t>
  </si>
  <si>
    <t>أسطوانة غاز FM200 سعة 175 لتر</t>
  </si>
  <si>
    <t>SPARK FM200</t>
  </si>
  <si>
    <t>FM200 Gas (HFC-227ea)</t>
  </si>
  <si>
    <t>غاز الإطفاء HFC-227ea</t>
  </si>
  <si>
    <t>VES Fire Alarm Extinguishing Control Panel</t>
  </si>
  <si>
    <t>UL &amp; FM</t>
  </si>
  <si>
    <t>لوحة تحكم إطفاء بالغاز VES</t>
  </si>
  <si>
    <t>برج الأعمال 2 - الملز</t>
  </si>
  <si>
    <t>شركة إتقان العربية المحدودة</t>
  </si>
  <si>
    <t>طقم مضخة حريق 750 GPM @ 12 Bar</t>
  </si>
  <si>
    <t>Al Nahdi - ANC</t>
  </si>
  <si>
    <t>كهربائية + ديزل + جوكي متكاملة</t>
  </si>
  <si>
    <t>Offer CPV</t>
  </si>
  <si>
    <t>65mm Landing Valve</t>
  </si>
  <si>
    <t>LIFECO (UL/FM)</t>
  </si>
  <si>
    <t>محبس حريق 65 مم للمخرج</t>
  </si>
  <si>
    <t>4" Check Valve</t>
  </si>
  <si>
    <t>LEDE (UL/FM)</t>
  </si>
  <si>
    <t>صمام عدم رجوع 4 بوصة</t>
  </si>
  <si>
    <t>Air Vent Valve</t>
  </si>
  <si>
    <t>LEDE</t>
  </si>
  <si>
    <t>صمام تنفيس هواء لشبكة الحريق</t>
  </si>
  <si>
    <t>4"X2.5"X2.5" Siamese Connection</t>
  </si>
  <si>
    <t>Single door Fire Hose Cabinet (FHC-II)</t>
  </si>
  <si>
    <t>SABEH (Saudi Made)</t>
  </si>
  <si>
    <t>صندوق حريق استنلس استيل درفة واحدة</t>
  </si>
  <si>
    <t>FM200 Extinguishing System 20 Kg</t>
  </si>
  <si>
    <t>SFFECO</t>
  </si>
  <si>
    <t>نظام إطفاء غاز FM200 سعة 20 كجم</t>
  </si>
  <si>
    <t>FM200 Extinguishing System 75 Kg</t>
  </si>
  <si>
    <t>نظام إطفاء غاز FM200 سعة 75 كجم</t>
  </si>
  <si>
    <t>Pendent Automatic Fire Sprinkler K5.6 68C</t>
  </si>
  <si>
    <t>رشاش حريق متدلي K5.6 حرارة 68</t>
  </si>
  <si>
    <t>Side-Wall Automatic Fire Sprinkler K5.6 68C</t>
  </si>
  <si>
    <t>رشاش حريق جداري K5.6 حرارة 68</t>
  </si>
  <si>
    <t>Upright Automatic Fire Sprinkler K5.6 68C</t>
  </si>
  <si>
    <t>رشاش حريق قائم K5.6 حرارة 68</t>
  </si>
  <si>
    <t>4" Zone Control Valve Assembly</t>
  </si>
  <si>
    <t>طقم صمام تحكم بالمنطقة ZCV 4 بوصة</t>
  </si>
  <si>
    <t>2.5" Zone Control Valve Assembly</t>
  </si>
  <si>
    <t>طقم صمام تحكم بالمنطقة ZCV 2.5 بوصة</t>
  </si>
  <si>
    <t>شركة أضواء الخيالة</t>
  </si>
  <si>
    <t>قسم أنظمة الإنذار</t>
  </si>
  <si>
    <t>SSD Smoke Sensor w/Base</t>
  </si>
  <si>
    <t>حساس دخان ضوئي مع القاعدة</t>
  </si>
  <si>
    <t>تقرير مواد</t>
  </si>
  <si>
    <t>Heat Detector w/Base</t>
  </si>
  <si>
    <t>Manual Pull Station</t>
  </si>
  <si>
    <t>محطة سحب يدوي معنونة</t>
  </si>
  <si>
    <t>WP DA MPS</t>
  </si>
  <si>
    <t>محطة سحب يدوي مقاومة للماء</t>
  </si>
  <si>
    <t>BB for MPS</t>
  </si>
  <si>
    <t>علبة خلفية لكواسر السحب اليدوي</t>
  </si>
  <si>
    <t>Addressable Horn</t>
  </si>
  <si>
    <t>صفارة إنذار معنونة</t>
  </si>
  <si>
    <t>WP Horn Flasher</t>
  </si>
  <si>
    <t>صفارة مع فلاشر مقاومة للماء</t>
  </si>
  <si>
    <t>Network Interface Card</t>
  </si>
  <si>
    <t>كرت واجهة ربط الشبكة</t>
  </si>
  <si>
    <t>Duct Detector</t>
  </si>
  <si>
    <t>كاشف دخان لمجاري الهواء (الدكت)</t>
  </si>
  <si>
    <t>Simplex Repeater</t>
  </si>
  <si>
    <t>جهاز مقوي ومكرر إشارة الإنذار</t>
  </si>
  <si>
    <t>موقع حقوق الإنسان (تكافل الخيرية)</t>
  </si>
  <si>
    <t>مروحة تضغيط المصاعد 12500 CFM مع الدكت</t>
  </si>
  <si>
    <t>مروحة تضغيط مع الدكت واللوحة</t>
  </si>
  <si>
    <t>عرض تكافل</t>
  </si>
  <si>
    <t>أبواب طوارئ مقاومة للحريق 90 دقيقة</t>
  </si>
  <si>
    <t>أبواب حريق مع الإكسسوارات</t>
  </si>
  <si>
    <t>باب</t>
  </si>
  <si>
    <t>Stainless Steel Stairs side handrails 1.5"</t>
  </si>
  <si>
    <t>استنلس استيل</t>
  </si>
  <si>
    <t>دربزينات أدراج الهروب</t>
  </si>
  <si>
    <t>متر</t>
  </si>
  <si>
    <t>حاجز فصل استمرارية الهروب بالأدراج</t>
  </si>
  <si>
    <t>حواجز أدراج الهروب بالطابق الأرضي</t>
  </si>
  <si>
    <t>علامات مخرج طوارئ مضيئة ببطارية</t>
  </si>
  <si>
    <t>لوحات مخرج طوارئ مضيئة</t>
  </si>
  <si>
    <t>كشافات إنارة طوارئ مع بطارية وشاحن</t>
  </si>
  <si>
    <t>كشافات إنارة طوارئ احتياطية</t>
  </si>
  <si>
    <t>كاشف دخان معنون GENT مع القاعدة</t>
  </si>
  <si>
    <t>GENT (EN54)</t>
  </si>
  <si>
    <t>كاشف حرارة معنون GENT مع القاعدة</t>
  </si>
  <si>
    <t>Network Cards لربط لوحات الإنذار</t>
  </si>
  <si>
    <t>GENT</t>
  </si>
  <si>
    <t>كروت شبكة لربط اللوحات والغرفة الرئيسية</t>
  </si>
  <si>
    <t>المجموع الكلي للبنود المرفقة</t>
  </si>
  <si>
    <t>حصر وتفصيل مضخات مكافحة الحريق في المشروعات</t>
  </si>
  <si>
    <t>جدول مقارنة المواصفات الفنية، السعات، الاعتمادات، والأسعار لجميع طلمات ومجموعات الحريق</t>
  </si>
  <si>
    <t>برج طويق (إبراهيم بن عبد الله)</t>
  </si>
  <si>
    <t>طقم مضخات حريق متكامل (كهربائية + ديزل + جوكي)</t>
  </si>
  <si>
    <t>DFS / SMI</t>
  </si>
  <si>
    <t>1,000 GPM</t>
  </si>
  <si>
    <t>18 بار (261 PSI)</t>
  </si>
  <si>
    <t>750 GPM</t>
  </si>
  <si>
    <t>9 بار (130 PSI)</t>
  </si>
  <si>
    <t>برج طويق PM1 السفلية (شركة المهيدب)</t>
  </si>
  <si>
    <t>طقم مضخات حريق (Horizontal Split Case + ديزل + جوكي)</t>
  </si>
  <si>
    <t>SMI (UL/FM معتمدة)</t>
  </si>
  <si>
    <t>برج طويق PM2 العلوية (شركة المهيدب)</t>
  </si>
  <si>
    <t>10 بار (145 PSI)</t>
  </si>
  <si>
    <t>طقم مضخات حريق (6 مضخات: ديزل + كهرباء + جوكي)</t>
  </si>
  <si>
    <t>مؤسسة أسس السلامة (UL/FM)</t>
  </si>
  <si>
    <t>150 GPM</t>
  </si>
  <si>
    <t>250 GPM</t>
  </si>
  <si>
    <t>500 GPM</t>
  </si>
  <si>
    <t>برج الأعمال 2 - الملز (CPV Arabia)</t>
  </si>
  <si>
    <t>طقم مضخة حريق (رئيسية كهربائية + ديزل + جوكي)</t>
  </si>
  <si>
    <t>Al Nahdi - ANC (إتقان العربية)</t>
  </si>
  <si>
    <t>12 بار (174 PSI)</t>
  </si>
  <si>
    <t>تحلية المياه المالحة بالباحة</t>
  </si>
  <si>
    <t>مضخة حريق كهربائية افقية (Horizontal Split Case)</t>
  </si>
  <si>
    <t>معتمدة UL/FM</t>
  </si>
  <si>
    <t>125 PSI (8.61 بار)</t>
  </si>
  <si>
    <t>مضخة حريق ديزل افقية (Horizontal Split Case)</t>
  </si>
  <si>
    <t>مضخة جوكي مساعدة (Vertical Multistage)</t>
  </si>
  <si>
    <t>25 GPM</t>
  </si>
  <si>
    <t>130 PSI (8.96 بار)</t>
  </si>
  <si>
    <t>الشركة الكيميائية الحديثة (موقع المويه)</t>
  </si>
  <si>
    <t>مؤسسة رئال (UL/FM)</t>
  </si>
  <si>
    <t>400 GPM</t>
  </si>
  <si>
    <t>120 PSI (8.27 بار)</t>
  </si>
  <si>
    <t>مجمع عذوق السكني (شركة المسكن الميسر)</t>
  </si>
  <si>
    <t>مجموعة مضخات مكافحة حريق (كهرباء + ديزل + جوكي)</t>
  </si>
  <si>
    <t>معتمدة الدفاع المدني</t>
  </si>
  <si>
    <t>7 بار (101 PSI)</t>
  </si>
  <si>
    <t>مستودعات ناصر البداح (حي السلي)</t>
  </si>
  <si>
    <t>مجموعة مضخات حريق مجمعة مع لوحة أوتوماتيكية</t>
  </si>
  <si>
    <t>Non-UL Listed</t>
  </si>
  <si>
    <t>مشروع عمارة تجارية</t>
  </si>
  <si>
    <t>مضخة حريق كهرباء 500 ج/د + ديزل 500 ج/د + جوكي</t>
  </si>
  <si>
    <t>مؤسسة رئال الدولية</t>
  </si>
  <si>
    <t>حراج بن قاسم الجديد (فهد أبو بدر)</t>
  </si>
  <si>
    <t>مضخة حريق كهرباء 500 ج/د + جوكي 50 ج/د</t>
  </si>
  <si>
    <t>إجمالي تكلفة مضخات الحريق المذكورة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</si>
</sst>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ر.س&quot;"/>
  </numFmts>
  <fonts count="6" x14ac:knownFonts="1">
    <font>
      <sz val="11"/>
      <color theme="1"/>
      <name val="Arial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9FBFD"/>
        <bgColor rgb="FFF9FBF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0" fontId="0" fillId="2" borderId="2" xfId="0" applyFill="1" applyBorder="1"/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2"/>
  <sheetViews>
    <sheetView workbookViewId="0"/>
  </sheetViews>
  <sheetFormatPr defaultRowHeight="14.25" x14ac:dyDescent="0.2"/>
  <cols>
    <col min="1" max="1" width="6" customWidth="1"/>
    <col min="2" max="2" width="30" customWidth="1"/>
    <col min="3" max="3" width="25" customWidth="1"/>
    <col min="4" max="4" width="32" customWidth="1"/>
    <col min="5" max="5" width="20" customWidth="1"/>
    <col min="6" max="6" width="22" customWidth="1"/>
    <col min="7" max="7" width="32" customWidth="1"/>
    <col min="8" max="9" width="10" customWidth="1"/>
    <col min="10" max="10" width="18" customWidth="1"/>
    <col min="11" max="11" width="22" customWidth="1"/>
    <col min="12" max="12" width="18" customWidth="1"/>
  </cols>
  <sheetData>
    <row r="1" spans="1:12" ht="21" x14ac:dyDescent="0.35">
      <c r="A1" s="1" t="s">
        <v>0</v>
      </c>
    </row>
    <row r="2" spans="1:12" ht="15" x14ac:dyDescent="0.25">
      <c r="A2" s="2" t="s">
        <v>1</v>
      </c>
    </row>
    <row r="4" spans="1:12" x14ac:dyDescent="0.2">
      <c r="A4" s="3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5">
        <v>4</v>
      </c>
      <c r="I4" s="3" t="s">
        <v>8</v>
      </c>
      <c r="J4" s="6">
        <v>23500</v>
      </c>
      <c r="K4" s="7">
        <f t="shared" ref="K4:K35" si="0">H4*J4</f>
        <v>94000</v>
      </c>
      <c r="L4" s="3" t="s">
        <v>9</v>
      </c>
    </row>
    <row r="5" spans="1:12" x14ac:dyDescent="0.2">
      <c r="A5" s="8">
        <v>2</v>
      </c>
      <c r="B5" s="9" t="s">
        <v>2</v>
      </c>
      <c r="C5" s="9" t="s">
        <v>3</v>
      </c>
      <c r="D5" s="9" t="s">
        <v>10</v>
      </c>
      <c r="E5" s="9" t="s">
        <v>5</v>
      </c>
      <c r="F5" s="9" t="s">
        <v>6</v>
      </c>
      <c r="G5" s="9" t="s">
        <v>11</v>
      </c>
      <c r="H5" s="10">
        <v>2</v>
      </c>
      <c r="I5" s="8" t="s">
        <v>8</v>
      </c>
      <c r="J5" s="6">
        <v>16500</v>
      </c>
      <c r="K5" s="7">
        <f t="shared" si="0"/>
        <v>33000</v>
      </c>
      <c r="L5" s="8" t="s">
        <v>9</v>
      </c>
    </row>
    <row r="6" spans="1:12" x14ac:dyDescent="0.2">
      <c r="A6" s="8">
        <v>3</v>
      </c>
      <c r="B6" s="11" t="s">
        <v>2</v>
      </c>
      <c r="C6" s="11" t="s">
        <v>3</v>
      </c>
      <c r="D6" s="11" t="s">
        <v>12</v>
      </c>
      <c r="E6" s="11" t="s">
        <v>5</v>
      </c>
      <c r="F6" s="11" t="s">
        <v>13</v>
      </c>
      <c r="G6" s="11" t="s">
        <v>14</v>
      </c>
      <c r="H6" s="10">
        <v>1</v>
      </c>
      <c r="I6" s="8" t="s">
        <v>15</v>
      </c>
      <c r="J6" s="6">
        <v>47000</v>
      </c>
      <c r="K6" s="7">
        <f t="shared" si="0"/>
        <v>47000</v>
      </c>
      <c r="L6" s="8" t="s">
        <v>9</v>
      </c>
    </row>
    <row r="7" spans="1:12" x14ac:dyDescent="0.2">
      <c r="A7" s="8">
        <v>4</v>
      </c>
      <c r="B7" s="9" t="s">
        <v>2</v>
      </c>
      <c r="C7" s="9" t="s">
        <v>3</v>
      </c>
      <c r="D7" s="9" t="s">
        <v>16</v>
      </c>
      <c r="E7" s="9" t="s">
        <v>5</v>
      </c>
      <c r="F7" s="9" t="s">
        <v>17</v>
      </c>
      <c r="G7" s="9" t="s">
        <v>18</v>
      </c>
      <c r="H7" s="10">
        <v>1820</v>
      </c>
      <c r="I7" s="8" t="s">
        <v>19</v>
      </c>
      <c r="J7" s="6">
        <v>415</v>
      </c>
      <c r="K7" s="7">
        <f t="shared" si="0"/>
        <v>755300</v>
      </c>
      <c r="L7" s="8" t="s">
        <v>9</v>
      </c>
    </row>
    <row r="8" spans="1:12" x14ac:dyDescent="0.2">
      <c r="A8" s="8">
        <v>5</v>
      </c>
      <c r="B8" s="11" t="s">
        <v>2</v>
      </c>
      <c r="C8" s="11" t="s">
        <v>3</v>
      </c>
      <c r="D8" s="11" t="s">
        <v>20</v>
      </c>
      <c r="E8" s="11" t="s">
        <v>5</v>
      </c>
      <c r="F8" s="11" t="s">
        <v>6</v>
      </c>
      <c r="G8" s="11" t="s">
        <v>21</v>
      </c>
      <c r="H8" s="10">
        <v>27</v>
      </c>
      <c r="I8" s="8" t="s">
        <v>19</v>
      </c>
      <c r="J8" s="6">
        <v>425</v>
      </c>
      <c r="K8" s="7">
        <f t="shared" si="0"/>
        <v>11475</v>
      </c>
      <c r="L8" s="8" t="s">
        <v>9</v>
      </c>
    </row>
    <row r="9" spans="1:12" x14ac:dyDescent="0.2">
      <c r="A9" s="8">
        <v>6</v>
      </c>
      <c r="B9" s="9" t="s">
        <v>2</v>
      </c>
      <c r="C9" s="9" t="s">
        <v>3</v>
      </c>
      <c r="D9" s="9" t="s">
        <v>22</v>
      </c>
      <c r="E9" s="9" t="s">
        <v>5</v>
      </c>
      <c r="F9" s="9" t="s">
        <v>6</v>
      </c>
      <c r="G9" s="9" t="s">
        <v>23</v>
      </c>
      <c r="H9" s="10">
        <v>145</v>
      </c>
      <c r="I9" s="8" t="s">
        <v>19</v>
      </c>
      <c r="J9" s="6">
        <v>410</v>
      </c>
      <c r="K9" s="7">
        <f t="shared" si="0"/>
        <v>59450</v>
      </c>
      <c r="L9" s="8" t="s">
        <v>9</v>
      </c>
    </row>
    <row r="10" spans="1:12" x14ac:dyDescent="0.2">
      <c r="A10" s="8">
        <v>7</v>
      </c>
      <c r="B10" s="11" t="s">
        <v>2</v>
      </c>
      <c r="C10" s="11" t="s">
        <v>3</v>
      </c>
      <c r="D10" s="11" t="s">
        <v>24</v>
      </c>
      <c r="E10" s="11" t="s">
        <v>5</v>
      </c>
      <c r="F10" s="11" t="s">
        <v>6</v>
      </c>
      <c r="G10" s="11" t="s">
        <v>25</v>
      </c>
      <c r="H10" s="10">
        <v>140</v>
      </c>
      <c r="I10" s="8" t="s">
        <v>19</v>
      </c>
      <c r="J10" s="6">
        <v>425</v>
      </c>
      <c r="K10" s="7">
        <f t="shared" si="0"/>
        <v>59500</v>
      </c>
      <c r="L10" s="8" t="s">
        <v>9</v>
      </c>
    </row>
    <row r="11" spans="1:12" x14ac:dyDescent="0.2">
      <c r="A11" s="8">
        <v>8</v>
      </c>
      <c r="B11" s="9" t="s">
        <v>2</v>
      </c>
      <c r="C11" s="9" t="s">
        <v>3</v>
      </c>
      <c r="D11" s="9" t="s">
        <v>26</v>
      </c>
      <c r="E11" s="9" t="s">
        <v>5</v>
      </c>
      <c r="F11" s="9" t="s">
        <v>6</v>
      </c>
      <c r="G11" s="9" t="s">
        <v>27</v>
      </c>
      <c r="H11" s="10">
        <v>50</v>
      </c>
      <c r="I11" s="8" t="s">
        <v>19</v>
      </c>
      <c r="J11" s="6">
        <v>415</v>
      </c>
      <c r="K11" s="7">
        <f t="shared" si="0"/>
        <v>20750</v>
      </c>
      <c r="L11" s="8" t="s">
        <v>9</v>
      </c>
    </row>
    <row r="12" spans="1:12" x14ac:dyDescent="0.2">
      <c r="A12" s="8">
        <v>9</v>
      </c>
      <c r="B12" s="11" t="s">
        <v>2</v>
      </c>
      <c r="C12" s="11" t="s">
        <v>3</v>
      </c>
      <c r="D12" s="11" t="s">
        <v>28</v>
      </c>
      <c r="E12" s="11" t="s">
        <v>29</v>
      </c>
      <c r="F12" s="11" t="s">
        <v>30</v>
      </c>
      <c r="G12" s="11" t="s">
        <v>31</v>
      </c>
      <c r="H12" s="10">
        <v>1701</v>
      </c>
      <c r="I12" s="8" t="s">
        <v>19</v>
      </c>
      <c r="J12" s="6">
        <v>195</v>
      </c>
      <c r="K12" s="7">
        <f t="shared" si="0"/>
        <v>331695</v>
      </c>
      <c r="L12" s="8" t="s">
        <v>9</v>
      </c>
    </row>
    <row r="13" spans="1:12" x14ac:dyDescent="0.2">
      <c r="A13" s="8">
        <v>10</v>
      </c>
      <c r="B13" s="9" t="s">
        <v>2</v>
      </c>
      <c r="C13" s="9" t="s">
        <v>3</v>
      </c>
      <c r="D13" s="9" t="s">
        <v>32</v>
      </c>
      <c r="E13" s="9" t="s">
        <v>29</v>
      </c>
      <c r="F13" s="9" t="s">
        <v>30</v>
      </c>
      <c r="G13" s="9" t="s">
        <v>33</v>
      </c>
      <c r="H13" s="10">
        <v>296</v>
      </c>
      <c r="I13" s="8" t="s">
        <v>19</v>
      </c>
      <c r="J13" s="6">
        <v>205</v>
      </c>
      <c r="K13" s="7">
        <f t="shared" si="0"/>
        <v>60680</v>
      </c>
      <c r="L13" s="8" t="s">
        <v>9</v>
      </c>
    </row>
    <row r="14" spans="1:12" x14ac:dyDescent="0.2">
      <c r="A14" s="8">
        <v>11</v>
      </c>
      <c r="B14" s="11" t="s">
        <v>2</v>
      </c>
      <c r="C14" s="11" t="s">
        <v>3</v>
      </c>
      <c r="D14" s="11" t="s">
        <v>34</v>
      </c>
      <c r="E14" s="11" t="s">
        <v>29</v>
      </c>
      <c r="F14" s="11" t="s">
        <v>30</v>
      </c>
      <c r="G14" s="11" t="s">
        <v>35</v>
      </c>
      <c r="H14" s="10">
        <v>386</v>
      </c>
      <c r="I14" s="8" t="s">
        <v>19</v>
      </c>
      <c r="J14" s="6">
        <v>225</v>
      </c>
      <c r="K14" s="7">
        <f t="shared" si="0"/>
        <v>86850</v>
      </c>
      <c r="L14" s="8" t="s">
        <v>9</v>
      </c>
    </row>
    <row r="15" spans="1:12" x14ac:dyDescent="0.2">
      <c r="A15" s="8">
        <v>12</v>
      </c>
      <c r="B15" s="9" t="s">
        <v>2</v>
      </c>
      <c r="C15" s="9" t="s">
        <v>3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3</v>
      </c>
      <c r="I15" s="8" t="s">
        <v>15</v>
      </c>
      <c r="J15" s="6">
        <v>5250</v>
      </c>
      <c r="K15" s="7">
        <f t="shared" si="0"/>
        <v>15750</v>
      </c>
      <c r="L15" s="8" t="s">
        <v>9</v>
      </c>
    </row>
    <row r="16" spans="1:12" x14ac:dyDescent="0.2">
      <c r="A16" s="8">
        <v>13</v>
      </c>
      <c r="B16" s="11" t="s">
        <v>2</v>
      </c>
      <c r="C16" s="11" t="s">
        <v>3</v>
      </c>
      <c r="D16" s="11" t="s">
        <v>40</v>
      </c>
      <c r="E16" s="11" t="s">
        <v>41</v>
      </c>
      <c r="F16" s="11" t="s">
        <v>42</v>
      </c>
      <c r="G16" s="11" t="s">
        <v>43</v>
      </c>
      <c r="H16" s="10">
        <v>1</v>
      </c>
      <c r="I16" s="8" t="s">
        <v>44</v>
      </c>
      <c r="J16" s="6">
        <v>620000</v>
      </c>
      <c r="K16" s="7">
        <f t="shared" si="0"/>
        <v>620000</v>
      </c>
      <c r="L16" s="8" t="s">
        <v>9</v>
      </c>
    </row>
    <row r="17" spans="1:12" x14ac:dyDescent="0.2">
      <c r="A17" s="8">
        <v>14</v>
      </c>
      <c r="B17" s="9" t="s">
        <v>2</v>
      </c>
      <c r="C17" s="9" t="s">
        <v>3</v>
      </c>
      <c r="D17" s="9" t="s">
        <v>45</v>
      </c>
      <c r="E17" s="9" t="s">
        <v>41</v>
      </c>
      <c r="F17" s="9" t="s">
        <v>38</v>
      </c>
      <c r="G17" s="9" t="s">
        <v>46</v>
      </c>
      <c r="H17" s="10">
        <v>1</v>
      </c>
      <c r="I17" s="8" t="s">
        <v>44</v>
      </c>
      <c r="J17" s="6">
        <v>135000</v>
      </c>
      <c r="K17" s="7">
        <f t="shared" si="0"/>
        <v>135000</v>
      </c>
      <c r="L17" s="8" t="s">
        <v>9</v>
      </c>
    </row>
    <row r="18" spans="1:12" x14ac:dyDescent="0.2">
      <c r="A18" s="8">
        <v>15</v>
      </c>
      <c r="B18" s="11" t="s">
        <v>2</v>
      </c>
      <c r="C18" s="11" t="s">
        <v>3</v>
      </c>
      <c r="D18" s="11" t="s">
        <v>47</v>
      </c>
      <c r="E18" s="11" t="s">
        <v>41</v>
      </c>
      <c r="F18" s="11" t="s">
        <v>48</v>
      </c>
      <c r="G18" s="11" t="s">
        <v>49</v>
      </c>
      <c r="H18" s="10">
        <v>1</v>
      </c>
      <c r="I18" s="8" t="s">
        <v>44</v>
      </c>
      <c r="J18" s="6">
        <v>165000</v>
      </c>
      <c r="K18" s="7">
        <f t="shared" si="0"/>
        <v>165000</v>
      </c>
      <c r="L18" s="8" t="s">
        <v>9</v>
      </c>
    </row>
    <row r="19" spans="1:12" x14ac:dyDescent="0.2">
      <c r="A19" s="8">
        <v>16</v>
      </c>
      <c r="B19" s="9" t="s">
        <v>2</v>
      </c>
      <c r="C19" s="9" t="s">
        <v>3</v>
      </c>
      <c r="D19" s="9" t="s">
        <v>50</v>
      </c>
      <c r="E19" s="9" t="s">
        <v>51</v>
      </c>
      <c r="F19" s="9" t="s">
        <v>52</v>
      </c>
      <c r="G19" s="9" t="s">
        <v>53</v>
      </c>
      <c r="H19" s="10">
        <v>1</v>
      </c>
      <c r="I19" s="8" t="s">
        <v>15</v>
      </c>
      <c r="J19" s="6">
        <v>550000</v>
      </c>
      <c r="K19" s="7">
        <f t="shared" si="0"/>
        <v>550000</v>
      </c>
      <c r="L19" s="8" t="s">
        <v>9</v>
      </c>
    </row>
    <row r="20" spans="1:12" x14ac:dyDescent="0.2">
      <c r="A20" s="8">
        <v>17</v>
      </c>
      <c r="B20" s="11" t="s">
        <v>2</v>
      </c>
      <c r="C20" s="11" t="s">
        <v>3</v>
      </c>
      <c r="D20" s="11" t="s">
        <v>54</v>
      </c>
      <c r="E20" s="11" t="s">
        <v>51</v>
      </c>
      <c r="F20" s="11" t="s">
        <v>52</v>
      </c>
      <c r="G20" s="11" t="s">
        <v>55</v>
      </c>
      <c r="H20" s="10">
        <v>1</v>
      </c>
      <c r="I20" s="8" t="s">
        <v>15</v>
      </c>
      <c r="J20" s="6">
        <v>215000</v>
      </c>
      <c r="K20" s="7">
        <f t="shared" si="0"/>
        <v>215000</v>
      </c>
      <c r="L20" s="8" t="s">
        <v>9</v>
      </c>
    </row>
    <row r="21" spans="1:12" x14ac:dyDescent="0.2">
      <c r="A21" s="8">
        <v>18</v>
      </c>
      <c r="B21" s="9" t="s">
        <v>2</v>
      </c>
      <c r="C21" s="9" t="s">
        <v>3</v>
      </c>
      <c r="D21" s="9" t="s">
        <v>56</v>
      </c>
      <c r="E21" s="9" t="s">
        <v>57</v>
      </c>
      <c r="F21" s="9" t="s">
        <v>58</v>
      </c>
      <c r="G21" s="9" t="s">
        <v>59</v>
      </c>
      <c r="H21" s="10">
        <v>4</v>
      </c>
      <c r="I21" s="8" t="s">
        <v>60</v>
      </c>
      <c r="J21" s="6">
        <v>37000</v>
      </c>
      <c r="K21" s="7">
        <f t="shared" si="0"/>
        <v>148000</v>
      </c>
      <c r="L21" s="8" t="s">
        <v>9</v>
      </c>
    </row>
    <row r="22" spans="1:12" x14ac:dyDescent="0.2">
      <c r="A22" s="8">
        <v>19</v>
      </c>
      <c r="B22" s="11" t="s">
        <v>2</v>
      </c>
      <c r="C22" s="11" t="s">
        <v>3</v>
      </c>
      <c r="D22" s="11" t="s">
        <v>61</v>
      </c>
      <c r="E22" s="11" t="s">
        <v>57</v>
      </c>
      <c r="F22" s="11" t="s">
        <v>58</v>
      </c>
      <c r="G22" s="11" t="s">
        <v>59</v>
      </c>
      <c r="H22" s="10">
        <v>4</v>
      </c>
      <c r="I22" s="8" t="s">
        <v>60</v>
      </c>
      <c r="J22" s="6">
        <v>23000</v>
      </c>
      <c r="K22" s="7">
        <f t="shared" si="0"/>
        <v>92000</v>
      </c>
      <c r="L22" s="8" t="s">
        <v>9</v>
      </c>
    </row>
    <row r="23" spans="1:12" x14ac:dyDescent="0.2">
      <c r="A23" s="8">
        <v>20</v>
      </c>
      <c r="B23" s="9" t="s">
        <v>2</v>
      </c>
      <c r="C23" s="9" t="s">
        <v>3</v>
      </c>
      <c r="D23" s="9" t="s">
        <v>62</v>
      </c>
      <c r="E23" s="9" t="s">
        <v>57</v>
      </c>
      <c r="F23" s="9" t="s">
        <v>58</v>
      </c>
      <c r="G23" s="9" t="s">
        <v>63</v>
      </c>
      <c r="H23" s="10">
        <v>15</v>
      </c>
      <c r="I23" s="8" t="s">
        <v>60</v>
      </c>
      <c r="J23" s="6">
        <v>21500</v>
      </c>
      <c r="K23" s="7">
        <f t="shared" si="0"/>
        <v>322500</v>
      </c>
      <c r="L23" s="8" t="s">
        <v>9</v>
      </c>
    </row>
    <row r="24" spans="1:12" x14ac:dyDescent="0.2">
      <c r="A24" s="8">
        <v>21</v>
      </c>
      <c r="B24" s="11" t="s">
        <v>2</v>
      </c>
      <c r="C24" s="11" t="s">
        <v>3</v>
      </c>
      <c r="D24" s="11" t="s">
        <v>64</v>
      </c>
      <c r="E24" s="11" t="s">
        <v>57</v>
      </c>
      <c r="F24" s="11" t="s">
        <v>58</v>
      </c>
      <c r="G24" s="11" t="s">
        <v>63</v>
      </c>
      <c r="H24" s="10">
        <v>12</v>
      </c>
      <c r="I24" s="8" t="s">
        <v>60</v>
      </c>
      <c r="J24" s="6">
        <v>25500</v>
      </c>
      <c r="K24" s="7">
        <f t="shared" si="0"/>
        <v>306000</v>
      </c>
      <c r="L24" s="8" t="s">
        <v>9</v>
      </c>
    </row>
    <row r="25" spans="1:12" x14ac:dyDescent="0.2">
      <c r="A25" s="8">
        <v>22</v>
      </c>
      <c r="B25" s="9" t="s">
        <v>2</v>
      </c>
      <c r="C25" s="9" t="s">
        <v>3</v>
      </c>
      <c r="D25" s="9" t="s">
        <v>65</v>
      </c>
      <c r="E25" s="9" t="s">
        <v>57</v>
      </c>
      <c r="F25" s="9" t="s">
        <v>58</v>
      </c>
      <c r="G25" s="9" t="s">
        <v>66</v>
      </c>
      <c r="H25" s="10">
        <v>4</v>
      </c>
      <c r="I25" s="8" t="s">
        <v>60</v>
      </c>
      <c r="J25" s="6">
        <v>20000</v>
      </c>
      <c r="K25" s="7">
        <f t="shared" si="0"/>
        <v>80000</v>
      </c>
      <c r="L25" s="8" t="s">
        <v>9</v>
      </c>
    </row>
    <row r="26" spans="1:12" x14ac:dyDescent="0.2">
      <c r="A26" s="8">
        <v>23</v>
      </c>
      <c r="B26" s="11" t="s">
        <v>2</v>
      </c>
      <c r="C26" s="11" t="s">
        <v>3</v>
      </c>
      <c r="D26" s="11" t="s">
        <v>67</v>
      </c>
      <c r="E26" s="11" t="s">
        <v>57</v>
      </c>
      <c r="F26" s="11" t="s">
        <v>58</v>
      </c>
      <c r="G26" s="11" t="s">
        <v>66</v>
      </c>
      <c r="H26" s="10">
        <v>22</v>
      </c>
      <c r="I26" s="8" t="s">
        <v>60</v>
      </c>
      <c r="J26" s="6">
        <v>20000</v>
      </c>
      <c r="K26" s="7">
        <f t="shared" si="0"/>
        <v>440000</v>
      </c>
      <c r="L26" s="8" t="s">
        <v>9</v>
      </c>
    </row>
    <row r="27" spans="1:12" x14ac:dyDescent="0.2">
      <c r="A27" s="8">
        <v>24</v>
      </c>
      <c r="B27" s="9" t="s">
        <v>2</v>
      </c>
      <c r="C27" s="9" t="s">
        <v>3</v>
      </c>
      <c r="D27" s="9" t="s">
        <v>68</v>
      </c>
      <c r="E27" s="9" t="s">
        <v>57</v>
      </c>
      <c r="F27" s="9" t="s">
        <v>58</v>
      </c>
      <c r="G27" s="9" t="s">
        <v>69</v>
      </c>
      <c r="H27" s="10">
        <v>4</v>
      </c>
      <c r="I27" s="8" t="s">
        <v>60</v>
      </c>
      <c r="J27" s="6">
        <v>34000</v>
      </c>
      <c r="K27" s="7">
        <f t="shared" si="0"/>
        <v>136000</v>
      </c>
      <c r="L27" s="8" t="s">
        <v>9</v>
      </c>
    </row>
    <row r="28" spans="1:12" x14ac:dyDescent="0.2">
      <c r="A28" s="8">
        <v>25</v>
      </c>
      <c r="B28" s="11" t="s">
        <v>2</v>
      </c>
      <c r="C28" s="11" t="s">
        <v>3</v>
      </c>
      <c r="D28" s="11" t="s">
        <v>70</v>
      </c>
      <c r="E28" s="11" t="s">
        <v>57</v>
      </c>
      <c r="F28" s="11" t="s">
        <v>58</v>
      </c>
      <c r="G28" s="11" t="s">
        <v>71</v>
      </c>
      <c r="H28" s="10">
        <v>4</v>
      </c>
      <c r="I28" s="8" t="s">
        <v>60</v>
      </c>
      <c r="J28" s="6">
        <v>33000</v>
      </c>
      <c r="K28" s="7">
        <f t="shared" si="0"/>
        <v>132000</v>
      </c>
      <c r="L28" s="8" t="s">
        <v>9</v>
      </c>
    </row>
    <row r="29" spans="1:12" x14ac:dyDescent="0.2">
      <c r="A29" s="8">
        <v>26</v>
      </c>
      <c r="B29" s="9" t="s">
        <v>2</v>
      </c>
      <c r="C29" s="9" t="s">
        <v>3</v>
      </c>
      <c r="D29" s="9" t="s">
        <v>72</v>
      </c>
      <c r="E29" s="9" t="s">
        <v>57</v>
      </c>
      <c r="F29" s="9" t="s">
        <v>73</v>
      </c>
      <c r="G29" s="9" t="s">
        <v>74</v>
      </c>
      <c r="H29" s="10">
        <v>126</v>
      </c>
      <c r="I29" s="8" t="s">
        <v>60</v>
      </c>
      <c r="J29" s="6">
        <v>2550</v>
      </c>
      <c r="K29" s="7">
        <f t="shared" si="0"/>
        <v>321300</v>
      </c>
      <c r="L29" s="8" t="s">
        <v>9</v>
      </c>
    </row>
    <row r="30" spans="1:12" x14ac:dyDescent="0.2">
      <c r="A30" s="8">
        <v>27</v>
      </c>
      <c r="B30" s="11" t="s">
        <v>75</v>
      </c>
      <c r="C30" s="11" t="s">
        <v>76</v>
      </c>
      <c r="D30" s="11" t="s">
        <v>77</v>
      </c>
      <c r="E30" s="11" t="s">
        <v>51</v>
      </c>
      <c r="F30" s="11" t="s">
        <v>78</v>
      </c>
      <c r="G30" s="11" t="s">
        <v>79</v>
      </c>
      <c r="H30" s="10">
        <v>1</v>
      </c>
      <c r="I30" s="8" t="s">
        <v>15</v>
      </c>
      <c r="J30" s="6">
        <v>388500</v>
      </c>
      <c r="K30" s="7">
        <f t="shared" si="0"/>
        <v>388500</v>
      </c>
      <c r="L30" s="8" t="s">
        <v>80</v>
      </c>
    </row>
    <row r="31" spans="1:12" x14ac:dyDescent="0.2">
      <c r="A31" s="8">
        <v>28</v>
      </c>
      <c r="B31" s="9" t="s">
        <v>75</v>
      </c>
      <c r="C31" s="9" t="s">
        <v>76</v>
      </c>
      <c r="D31" s="9" t="s">
        <v>81</v>
      </c>
      <c r="E31" s="9" t="s">
        <v>51</v>
      </c>
      <c r="F31" s="9" t="s">
        <v>78</v>
      </c>
      <c r="G31" s="9" t="s">
        <v>82</v>
      </c>
      <c r="H31" s="10">
        <v>1</v>
      </c>
      <c r="I31" s="8" t="s">
        <v>15</v>
      </c>
      <c r="J31" s="6">
        <v>266400</v>
      </c>
      <c r="K31" s="7">
        <f t="shared" si="0"/>
        <v>266400</v>
      </c>
      <c r="L31" s="8" t="s">
        <v>80</v>
      </c>
    </row>
    <row r="32" spans="1:12" x14ac:dyDescent="0.2">
      <c r="A32" s="8">
        <v>29</v>
      </c>
      <c r="B32" s="11" t="s">
        <v>75</v>
      </c>
      <c r="C32" s="11" t="s">
        <v>76</v>
      </c>
      <c r="D32" s="11" t="s">
        <v>83</v>
      </c>
      <c r="E32" s="11" t="s">
        <v>37</v>
      </c>
      <c r="F32" s="11" t="s">
        <v>84</v>
      </c>
      <c r="G32" s="11" t="s">
        <v>85</v>
      </c>
      <c r="H32" s="10">
        <v>4</v>
      </c>
      <c r="I32" s="8" t="s">
        <v>60</v>
      </c>
      <c r="J32" s="6">
        <v>6605</v>
      </c>
      <c r="K32" s="7">
        <f t="shared" si="0"/>
        <v>26420</v>
      </c>
      <c r="L32" s="8" t="s">
        <v>80</v>
      </c>
    </row>
    <row r="33" spans="1:12" x14ac:dyDescent="0.2">
      <c r="A33" s="8">
        <v>30</v>
      </c>
      <c r="B33" s="9" t="s">
        <v>75</v>
      </c>
      <c r="C33" s="9" t="s">
        <v>76</v>
      </c>
      <c r="D33" s="9" t="s">
        <v>86</v>
      </c>
      <c r="E33" s="9" t="s">
        <v>37</v>
      </c>
      <c r="F33" s="9" t="s">
        <v>84</v>
      </c>
      <c r="G33" s="9" t="s">
        <v>85</v>
      </c>
      <c r="H33" s="10">
        <v>8</v>
      </c>
      <c r="I33" s="8" t="s">
        <v>60</v>
      </c>
      <c r="J33" s="6">
        <v>7326</v>
      </c>
      <c r="K33" s="7">
        <f t="shared" si="0"/>
        <v>58608</v>
      </c>
      <c r="L33" s="8" t="s">
        <v>80</v>
      </c>
    </row>
    <row r="34" spans="1:12" x14ac:dyDescent="0.2">
      <c r="A34" s="8">
        <v>31</v>
      </c>
      <c r="B34" s="11" t="s">
        <v>75</v>
      </c>
      <c r="C34" s="11" t="s">
        <v>76</v>
      </c>
      <c r="D34" s="11" t="s">
        <v>87</v>
      </c>
      <c r="E34" s="11" t="s">
        <v>37</v>
      </c>
      <c r="F34" s="11" t="s">
        <v>88</v>
      </c>
      <c r="G34" s="11" t="s">
        <v>89</v>
      </c>
      <c r="H34" s="10">
        <v>49</v>
      </c>
      <c r="I34" s="8" t="s">
        <v>60</v>
      </c>
      <c r="J34" s="6">
        <v>777</v>
      </c>
      <c r="K34" s="7">
        <f t="shared" si="0"/>
        <v>38073</v>
      </c>
      <c r="L34" s="8" t="s">
        <v>80</v>
      </c>
    </row>
    <row r="35" spans="1:12" x14ac:dyDescent="0.2">
      <c r="A35" s="8">
        <v>32</v>
      </c>
      <c r="B35" s="9" t="s">
        <v>75</v>
      </c>
      <c r="C35" s="9" t="s">
        <v>76</v>
      </c>
      <c r="D35" s="9" t="s">
        <v>90</v>
      </c>
      <c r="E35" s="9" t="s">
        <v>37</v>
      </c>
      <c r="F35" s="9" t="s">
        <v>91</v>
      </c>
      <c r="G35" s="9" t="s">
        <v>92</v>
      </c>
      <c r="H35" s="10">
        <v>3</v>
      </c>
      <c r="I35" s="8" t="s">
        <v>60</v>
      </c>
      <c r="J35" s="6">
        <v>7326</v>
      </c>
      <c r="K35" s="7">
        <f t="shared" si="0"/>
        <v>21978</v>
      </c>
      <c r="L35" s="8" t="s">
        <v>80</v>
      </c>
    </row>
    <row r="36" spans="1:12" x14ac:dyDescent="0.2">
      <c r="A36" s="8">
        <v>33</v>
      </c>
      <c r="B36" s="11" t="s">
        <v>75</v>
      </c>
      <c r="C36" s="11" t="s">
        <v>76</v>
      </c>
      <c r="D36" s="11" t="s">
        <v>93</v>
      </c>
      <c r="E36" s="11" t="s">
        <v>94</v>
      </c>
      <c r="F36" s="11" t="s">
        <v>13</v>
      </c>
      <c r="G36" s="11" t="s">
        <v>95</v>
      </c>
      <c r="H36" s="10">
        <v>115</v>
      </c>
      <c r="I36" s="8" t="s">
        <v>60</v>
      </c>
      <c r="J36" s="6">
        <v>252</v>
      </c>
      <c r="K36" s="7">
        <f t="shared" ref="K36:K67" si="1">H36*J36</f>
        <v>28980</v>
      </c>
      <c r="L36" s="8" t="s">
        <v>80</v>
      </c>
    </row>
    <row r="37" spans="1:12" x14ac:dyDescent="0.2">
      <c r="A37" s="8">
        <v>34</v>
      </c>
      <c r="B37" s="9" t="s">
        <v>75</v>
      </c>
      <c r="C37" s="9" t="s">
        <v>76</v>
      </c>
      <c r="D37" s="9" t="s">
        <v>96</v>
      </c>
      <c r="E37" s="9" t="s">
        <v>94</v>
      </c>
      <c r="F37" s="9" t="s">
        <v>13</v>
      </c>
      <c r="G37" s="9" t="s">
        <v>97</v>
      </c>
      <c r="H37" s="10">
        <v>5</v>
      </c>
      <c r="I37" s="8" t="s">
        <v>60</v>
      </c>
      <c r="J37" s="6">
        <v>204</v>
      </c>
      <c r="K37" s="7">
        <f t="shared" si="1"/>
        <v>1020</v>
      </c>
      <c r="L37" s="8" t="s">
        <v>80</v>
      </c>
    </row>
    <row r="38" spans="1:12" x14ac:dyDescent="0.2">
      <c r="A38" s="8">
        <v>35</v>
      </c>
      <c r="B38" s="11" t="s">
        <v>75</v>
      </c>
      <c r="C38" s="11" t="s">
        <v>76</v>
      </c>
      <c r="D38" s="11" t="s">
        <v>98</v>
      </c>
      <c r="E38" s="11" t="s">
        <v>94</v>
      </c>
      <c r="F38" s="11" t="s">
        <v>13</v>
      </c>
      <c r="G38" s="11" t="s">
        <v>99</v>
      </c>
      <c r="H38" s="10">
        <v>50</v>
      </c>
      <c r="I38" s="8" t="s">
        <v>60</v>
      </c>
      <c r="J38" s="6">
        <v>3010</v>
      </c>
      <c r="K38" s="7">
        <f t="shared" si="1"/>
        <v>150500</v>
      </c>
      <c r="L38" s="8" t="s">
        <v>80</v>
      </c>
    </row>
    <row r="39" spans="1:12" x14ac:dyDescent="0.2">
      <c r="A39" s="8">
        <v>36</v>
      </c>
      <c r="B39" s="9" t="s">
        <v>75</v>
      </c>
      <c r="C39" s="9" t="s">
        <v>76</v>
      </c>
      <c r="D39" s="9" t="s">
        <v>100</v>
      </c>
      <c r="E39" s="9" t="s">
        <v>101</v>
      </c>
      <c r="F39" s="9" t="s">
        <v>102</v>
      </c>
      <c r="G39" s="9" t="s">
        <v>103</v>
      </c>
      <c r="H39" s="10">
        <v>2540</v>
      </c>
      <c r="I39" s="8" t="s">
        <v>60</v>
      </c>
      <c r="J39" s="6">
        <v>53</v>
      </c>
      <c r="K39" s="7">
        <f t="shared" si="1"/>
        <v>134620</v>
      </c>
      <c r="L39" s="8" t="s">
        <v>80</v>
      </c>
    </row>
    <row r="40" spans="1:12" x14ac:dyDescent="0.2">
      <c r="A40" s="8">
        <v>37</v>
      </c>
      <c r="B40" s="11" t="s">
        <v>75</v>
      </c>
      <c r="C40" s="11" t="s">
        <v>76</v>
      </c>
      <c r="D40" s="11" t="s">
        <v>104</v>
      </c>
      <c r="E40" s="11" t="s">
        <v>101</v>
      </c>
      <c r="F40" s="11" t="s">
        <v>102</v>
      </c>
      <c r="G40" s="11" t="s">
        <v>105</v>
      </c>
      <c r="H40" s="10">
        <v>25</v>
      </c>
      <c r="I40" s="8" t="s">
        <v>60</v>
      </c>
      <c r="J40" s="6">
        <v>63</v>
      </c>
      <c r="K40" s="7">
        <f t="shared" si="1"/>
        <v>1575</v>
      </c>
      <c r="L40" s="8" t="s">
        <v>80</v>
      </c>
    </row>
    <row r="41" spans="1:12" x14ac:dyDescent="0.2">
      <c r="A41" s="8">
        <v>38</v>
      </c>
      <c r="B41" s="9" t="s">
        <v>75</v>
      </c>
      <c r="C41" s="9" t="s">
        <v>76</v>
      </c>
      <c r="D41" s="9" t="s">
        <v>106</v>
      </c>
      <c r="E41" s="9" t="s">
        <v>101</v>
      </c>
      <c r="F41" s="9" t="s">
        <v>102</v>
      </c>
      <c r="G41" s="9" t="s">
        <v>107</v>
      </c>
      <c r="H41" s="10">
        <v>390</v>
      </c>
      <c r="I41" s="8" t="s">
        <v>60</v>
      </c>
      <c r="J41" s="6">
        <v>58</v>
      </c>
      <c r="K41" s="7">
        <f t="shared" si="1"/>
        <v>22620</v>
      </c>
      <c r="L41" s="8" t="s">
        <v>80</v>
      </c>
    </row>
    <row r="42" spans="1:12" x14ac:dyDescent="0.2">
      <c r="A42" s="8">
        <v>39</v>
      </c>
      <c r="B42" s="11" t="s">
        <v>75</v>
      </c>
      <c r="C42" s="11" t="s">
        <v>76</v>
      </c>
      <c r="D42" s="11" t="s">
        <v>108</v>
      </c>
      <c r="E42" s="11" t="s">
        <v>101</v>
      </c>
      <c r="F42" s="11" t="s">
        <v>102</v>
      </c>
      <c r="G42" s="11" t="s">
        <v>109</v>
      </c>
      <c r="H42" s="10">
        <v>875</v>
      </c>
      <c r="I42" s="8" t="s">
        <v>60</v>
      </c>
      <c r="J42" s="6">
        <v>32</v>
      </c>
      <c r="K42" s="7">
        <f t="shared" si="1"/>
        <v>28000</v>
      </c>
      <c r="L42" s="8" t="s">
        <v>80</v>
      </c>
    </row>
    <row r="43" spans="1:12" x14ac:dyDescent="0.2">
      <c r="A43" s="8">
        <v>40</v>
      </c>
      <c r="B43" s="9" t="s">
        <v>75</v>
      </c>
      <c r="C43" s="9" t="s">
        <v>76</v>
      </c>
      <c r="D43" s="9" t="s">
        <v>110</v>
      </c>
      <c r="E43" s="9" t="s">
        <v>41</v>
      </c>
      <c r="F43" s="9" t="s">
        <v>111</v>
      </c>
      <c r="G43" s="9" t="s">
        <v>112</v>
      </c>
      <c r="H43" s="10">
        <v>19</v>
      </c>
      <c r="I43" s="8" t="s">
        <v>60</v>
      </c>
      <c r="J43" s="6">
        <v>10545</v>
      </c>
      <c r="K43" s="7">
        <f t="shared" si="1"/>
        <v>200355</v>
      </c>
      <c r="L43" s="8" t="s">
        <v>80</v>
      </c>
    </row>
    <row r="44" spans="1:12" x14ac:dyDescent="0.2">
      <c r="A44" s="8">
        <v>41</v>
      </c>
      <c r="B44" s="11" t="s">
        <v>75</v>
      </c>
      <c r="C44" s="11" t="s">
        <v>76</v>
      </c>
      <c r="D44" s="11" t="s">
        <v>113</v>
      </c>
      <c r="E44" s="11" t="s">
        <v>41</v>
      </c>
      <c r="F44" s="11" t="s">
        <v>111</v>
      </c>
      <c r="G44" s="11" t="s">
        <v>114</v>
      </c>
      <c r="H44" s="10">
        <v>10</v>
      </c>
      <c r="I44" s="8" t="s">
        <v>60</v>
      </c>
      <c r="J44" s="6">
        <v>12765</v>
      </c>
      <c r="K44" s="7">
        <f t="shared" si="1"/>
        <v>127650</v>
      </c>
      <c r="L44" s="8" t="s">
        <v>80</v>
      </c>
    </row>
    <row r="45" spans="1:12" x14ac:dyDescent="0.2">
      <c r="A45" s="8">
        <v>42</v>
      </c>
      <c r="B45" s="9" t="s">
        <v>75</v>
      </c>
      <c r="C45" s="9" t="s">
        <v>76</v>
      </c>
      <c r="D45" s="9" t="s">
        <v>115</v>
      </c>
      <c r="E45" s="9" t="s">
        <v>41</v>
      </c>
      <c r="F45" s="9" t="s">
        <v>111</v>
      </c>
      <c r="G45" s="9" t="s">
        <v>116</v>
      </c>
      <c r="H45" s="10">
        <v>3</v>
      </c>
      <c r="I45" s="8" t="s">
        <v>60</v>
      </c>
      <c r="J45" s="6">
        <v>15540</v>
      </c>
      <c r="K45" s="7">
        <f t="shared" si="1"/>
        <v>46620</v>
      </c>
      <c r="L45" s="8" t="s">
        <v>80</v>
      </c>
    </row>
    <row r="46" spans="1:12" x14ac:dyDescent="0.2">
      <c r="A46" s="8">
        <v>43</v>
      </c>
      <c r="B46" s="11" t="s">
        <v>75</v>
      </c>
      <c r="C46" s="11" t="s">
        <v>76</v>
      </c>
      <c r="D46" s="11" t="s">
        <v>117</v>
      </c>
      <c r="E46" s="11" t="s">
        <v>41</v>
      </c>
      <c r="F46" s="11" t="s">
        <v>111</v>
      </c>
      <c r="G46" s="11" t="s">
        <v>118</v>
      </c>
      <c r="H46" s="10">
        <v>4</v>
      </c>
      <c r="I46" s="8" t="s">
        <v>60</v>
      </c>
      <c r="J46" s="6">
        <v>17205</v>
      </c>
      <c r="K46" s="7">
        <f t="shared" si="1"/>
        <v>68820</v>
      </c>
      <c r="L46" s="8" t="s">
        <v>80</v>
      </c>
    </row>
    <row r="47" spans="1:12" x14ac:dyDescent="0.2">
      <c r="A47" s="8">
        <v>44</v>
      </c>
      <c r="B47" s="9" t="s">
        <v>75</v>
      </c>
      <c r="C47" s="9" t="s">
        <v>76</v>
      </c>
      <c r="D47" s="9" t="s">
        <v>119</v>
      </c>
      <c r="E47" s="9" t="s">
        <v>41</v>
      </c>
      <c r="F47" s="9" t="s">
        <v>48</v>
      </c>
      <c r="G47" s="9" t="s">
        <v>120</v>
      </c>
      <c r="H47" s="10">
        <v>6</v>
      </c>
      <c r="I47" s="8" t="s">
        <v>60</v>
      </c>
      <c r="J47" s="6">
        <v>9435</v>
      </c>
      <c r="K47" s="7">
        <f t="shared" si="1"/>
        <v>56610</v>
      </c>
      <c r="L47" s="8" t="s">
        <v>80</v>
      </c>
    </row>
    <row r="48" spans="1:12" x14ac:dyDescent="0.2">
      <c r="A48" s="8">
        <v>45</v>
      </c>
      <c r="B48" s="11" t="s">
        <v>75</v>
      </c>
      <c r="C48" s="11" t="s">
        <v>76</v>
      </c>
      <c r="D48" s="11" t="s">
        <v>121</v>
      </c>
      <c r="E48" s="11" t="s">
        <v>29</v>
      </c>
      <c r="F48" s="11" t="s">
        <v>122</v>
      </c>
      <c r="G48" s="11" t="s">
        <v>123</v>
      </c>
      <c r="H48" s="10">
        <v>120</v>
      </c>
      <c r="I48" s="8" t="s">
        <v>60</v>
      </c>
      <c r="J48" s="6">
        <v>1443</v>
      </c>
      <c r="K48" s="7">
        <f t="shared" si="1"/>
        <v>173160</v>
      </c>
      <c r="L48" s="8" t="s">
        <v>80</v>
      </c>
    </row>
    <row r="49" spans="1:12" x14ac:dyDescent="0.2">
      <c r="A49" s="8">
        <v>46</v>
      </c>
      <c r="B49" s="9" t="s">
        <v>75</v>
      </c>
      <c r="C49" s="9" t="s">
        <v>76</v>
      </c>
      <c r="D49" s="9" t="s">
        <v>124</v>
      </c>
      <c r="E49" s="9" t="s">
        <v>5</v>
      </c>
      <c r="F49" s="9" t="s">
        <v>125</v>
      </c>
      <c r="G49" s="9" t="s">
        <v>126</v>
      </c>
      <c r="H49" s="10">
        <v>4</v>
      </c>
      <c r="I49" s="8" t="s">
        <v>60</v>
      </c>
      <c r="J49" s="6">
        <v>12932</v>
      </c>
      <c r="K49" s="7">
        <f t="shared" si="1"/>
        <v>51728</v>
      </c>
      <c r="L49" s="8" t="s">
        <v>80</v>
      </c>
    </row>
    <row r="50" spans="1:12" x14ac:dyDescent="0.2">
      <c r="A50" s="8">
        <v>47</v>
      </c>
      <c r="B50" s="11" t="s">
        <v>75</v>
      </c>
      <c r="C50" s="11" t="s">
        <v>76</v>
      </c>
      <c r="D50" s="11" t="s">
        <v>127</v>
      </c>
      <c r="E50" s="11" t="s">
        <v>5</v>
      </c>
      <c r="F50" s="11" t="s">
        <v>125</v>
      </c>
      <c r="G50" s="11" t="s">
        <v>128</v>
      </c>
      <c r="H50" s="10">
        <v>4</v>
      </c>
      <c r="I50" s="8" t="s">
        <v>60</v>
      </c>
      <c r="J50" s="6">
        <v>31802</v>
      </c>
      <c r="K50" s="7">
        <f t="shared" si="1"/>
        <v>127208</v>
      </c>
      <c r="L50" s="8" t="s">
        <v>80</v>
      </c>
    </row>
    <row r="51" spans="1:12" x14ac:dyDescent="0.2">
      <c r="A51" s="8">
        <v>48</v>
      </c>
      <c r="B51" s="9" t="s">
        <v>75</v>
      </c>
      <c r="C51" s="9" t="s">
        <v>76</v>
      </c>
      <c r="D51" s="9" t="s">
        <v>129</v>
      </c>
      <c r="E51" s="9" t="s">
        <v>5</v>
      </c>
      <c r="F51" s="9" t="s">
        <v>130</v>
      </c>
      <c r="G51" s="9" t="s">
        <v>131</v>
      </c>
      <c r="H51" s="10">
        <v>1</v>
      </c>
      <c r="I51" s="8" t="s">
        <v>44</v>
      </c>
      <c r="J51" s="6">
        <v>83250</v>
      </c>
      <c r="K51" s="7">
        <f t="shared" si="1"/>
        <v>83250</v>
      </c>
      <c r="L51" s="8" t="s">
        <v>80</v>
      </c>
    </row>
    <row r="52" spans="1:12" x14ac:dyDescent="0.2">
      <c r="A52" s="8">
        <v>49</v>
      </c>
      <c r="B52" s="11" t="s">
        <v>75</v>
      </c>
      <c r="C52" s="11" t="s">
        <v>76</v>
      </c>
      <c r="D52" s="11" t="s">
        <v>132</v>
      </c>
      <c r="E52" s="11" t="s">
        <v>5</v>
      </c>
      <c r="F52" s="11" t="s">
        <v>130</v>
      </c>
      <c r="G52" s="11" t="s">
        <v>133</v>
      </c>
      <c r="H52" s="10">
        <v>790</v>
      </c>
      <c r="I52" s="8" t="s">
        <v>60</v>
      </c>
      <c r="J52" s="6">
        <v>246</v>
      </c>
      <c r="K52" s="7">
        <f t="shared" si="1"/>
        <v>194340</v>
      </c>
      <c r="L52" s="8" t="s">
        <v>80</v>
      </c>
    </row>
    <row r="53" spans="1:12" x14ac:dyDescent="0.2">
      <c r="A53" s="8">
        <v>50</v>
      </c>
      <c r="B53" s="9" t="s">
        <v>75</v>
      </c>
      <c r="C53" s="9" t="s">
        <v>76</v>
      </c>
      <c r="D53" s="9" t="s">
        <v>134</v>
      </c>
      <c r="E53" s="9" t="s">
        <v>5</v>
      </c>
      <c r="F53" s="9" t="s">
        <v>130</v>
      </c>
      <c r="G53" s="9" t="s">
        <v>135</v>
      </c>
      <c r="H53" s="10">
        <v>780</v>
      </c>
      <c r="I53" s="8" t="s">
        <v>60</v>
      </c>
      <c r="J53" s="6">
        <v>349</v>
      </c>
      <c r="K53" s="7">
        <f t="shared" si="1"/>
        <v>272220</v>
      </c>
      <c r="L53" s="8" t="s">
        <v>80</v>
      </c>
    </row>
    <row r="54" spans="1:12" x14ac:dyDescent="0.2">
      <c r="A54" s="8">
        <v>51</v>
      </c>
      <c r="B54" s="11" t="s">
        <v>75</v>
      </c>
      <c r="C54" s="11" t="s">
        <v>76</v>
      </c>
      <c r="D54" s="11" t="s">
        <v>136</v>
      </c>
      <c r="E54" s="11" t="s">
        <v>5</v>
      </c>
      <c r="F54" s="11" t="s">
        <v>130</v>
      </c>
      <c r="G54" s="11" t="s">
        <v>137</v>
      </c>
      <c r="H54" s="10">
        <v>1920</v>
      </c>
      <c r="I54" s="8" t="s">
        <v>60</v>
      </c>
      <c r="J54" s="6">
        <v>254</v>
      </c>
      <c r="K54" s="7">
        <f t="shared" si="1"/>
        <v>487680</v>
      </c>
      <c r="L54" s="8" t="s">
        <v>80</v>
      </c>
    </row>
    <row r="55" spans="1:12" x14ac:dyDescent="0.2">
      <c r="A55" s="8">
        <v>52</v>
      </c>
      <c r="B55" s="9" t="s">
        <v>75</v>
      </c>
      <c r="C55" s="9" t="s">
        <v>76</v>
      </c>
      <c r="D55" s="9" t="s">
        <v>138</v>
      </c>
      <c r="E55" s="9" t="s">
        <v>5</v>
      </c>
      <c r="F55" s="9" t="s">
        <v>130</v>
      </c>
      <c r="G55" s="9" t="s">
        <v>139</v>
      </c>
      <c r="H55" s="10">
        <v>70</v>
      </c>
      <c r="I55" s="8" t="s">
        <v>60</v>
      </c>
      <c r="J55" s="6">
        <v>315</v>
      </c>
      <c r="K55" s="7">
        <f t="shared" si="1"/>
        <v>22050</v>
      </c>
      <c r="L55" s="8" t="s">
        <v>80</v>
      </c>
    </row>
    <row r="56" spans="1:12" x14ac:dyDescent="0.2">
      <c r="A56" s="8">
        <v>53</v>
      </c>
      <c r="B56" s="11" t="s">
        <v>75</v>
      </c>
      <c r="C56" s="11" t="s">
        <v>76</v>
      </c>
      <c r="D56" s="11" t="s">
        <v>140</v>
      </c>
      <c r="E56" s="11" t="s">
        <v>5</v>
      </c>
      <c r="F56" s="11" t="s">
        <v>130</v>
      </c>
      <c r="G56" s="11" t="s">
        <v>141</v>
      </c>
      <c r="H56" s="10">
        <v>271</v>
      </c>
      <c r="I56" s="8" t="s">
        <v>60</v>
      </c>
      <c r="J56" s="6">
        <v>276</v>
      </c>
      <c r="K56" s="7">
        <f t="shared" si="1"/>
        <v>74796</v>
      </c>
      <c r="L56" s="8" t="s">
        <v>80</v>
      </c>
    </row>
    <row r="57" spans="1:12" x14ac:dyDescent="0.2">
      <c r="A57" s="8">
        <v>54</v>
      </c>
      <c r="B57" s="9" t="s">
        <v>75</v>
      </c>
      <c r="C57" s="9" t="s">
        <v>76</v>
      </c>
      <c r="D57" s="9" t="s">
        <v>142</v>
      </c>
      <c r="E57" s="9" t="s">
        <v>5</v>
      </c>
      <c r="F57" s="9" t="s">
        <v>130</v>
      </c>
      <c r="G57" s="9" t="s">
        <v>143</v>
      </c>
      <c r="H57" s="10">
        <v>25</v>
      </c>
      <c r="I57" s="8" t="s">
        <v>60</v>
      </c>
      <c r="J57" s="6">
        <v>249</v>
      </c>
      <c r="K57" s="7">
        <f t="shared" si="1"/>
        <v>6225</v>
      </c>
      <c r="L57" s="8" t="s">
        <v>80</v>
      </c>
    </row>
    <row r="58" spans="1:12" x14ac:dyDescent="0.2">
      <c r="A58" s="8">
        <v>55</v>
      </c>
      <c r="B58" s="11" t="s">
        <v>75</v>
      </c>
      <c r="C58" s="11" t="s">
        <v>76</v>
      </c>
      <c r="D58" s="11" t="s">
        <v>144</v>
      </c>
      <c r="E58" s="11" t="s">
        <v>5</v>
      </c>
      <c r="F58" s="11" t="s">
        <v>130</v>
      </c>
      <c r="G58" s="11" t="s">
        <v>145</v>
      </c>
      <c r="H58" s="10">
        <v>290</v>
      </c>
      <c r="I58" s="8" t="s">
        <v>60</v>
      </c>
      <c r="J58" s="6">
        <v>360</v>
      </c>
      <c r="K58" s="7">
        <f t="shared" si="1"/>
        <v>104400</v>
      </c>
      <c r="L58" s="8" t="s">
        <v>80</v>
      </c>
    </row>
    <row r="59" spans="1:12" x14ac:dyDescent="0.2">
      <c r="A59" s="8">
        <v>56</v>
      </c>
      <c r="B59" s="9" t="s">
        <v>75</v>
      </c>
      <c r="C59" s="9" t="s">
        <v>76</v>
      </c>
      <c r="D59" s="9" t="s">
        <v>146</v>
      </c>
      <c r="E59" s="9" t="s">
        <v>5</v>
      </c>
      <c r="F59" s="9" t="s">
        <v>130</v>
      </c>
      <c r="G59" s="9" t="s">
        <v>147</v>
      </c>
      <c r="H59" s="10">
        <v>35</v>
      </c>
      <c r="I59" s="8" t="s">
        <v>60</v>
      </c>
      <c r="J59" s="6">
        <v>504</v>
      </c>
      <c r="K59" s="7">
        <f t="shared" si="1"/>
        <v>17640</v>
      </c>
      <c r="L59" s="8" t="s">
        <v>80</v>
      </c>
    </row>
    <row r="60" spans="1:12" x14ac:dyDescent="0.2">
      <c r="A60" s="8">
        <v>57</v>
      </c>
      <c r="B60" s="11" t="s">
        <v>75</v>
      </c>
      <c r="C60" s="11" t="s">
        <v>76</v>
      </c>
      <c r="D60" s="11" t="s">
        <v>148</v>
      </c>
      <c r="E60" s="11" t="s">
        <v>5</v>
      </c>
      <c r="F60" s="11" t="s">
        <v>149</v>
      </c>
      <c r="G60" s="11" t="s">
        <v>150</v>
      </c>
      <c r="H60" s="10">
        <v>2</v>
      </c>
      <c r="I60" s="8" t="s">
        <v>60</v>
      </c>
      <c r="J60" s="6">
        <v>2663</v>
      </c>
      <c r="K60" s="7">
        <f t="shared" si="1"/>
        <v>5326</v>
      </c>
      <c r="L60" s="8" t="s">
        <v>80</v>
      </c>
    </row>
    <row r="61" spans="1:12" x14ac:dyDescent="0.2">
      <c r="A61" s="8">
        <v>58</v>
      </c>
      <c r="B61" s="9" t="s">
        <v>75</v>
      </c>
      <c r="C61" s="9" t="s">
        <v>76</v>
      </c>
      <c r="D61" s="9" t="s">
        <v>151</v>
      </c>
      <c r="E61" s="9" t="s">
        <v>5</v>
      </c>
      <c r="F61" s="9" t="s">
        <v>130</v>
      </c>
      <c r="G61" s="9" t="s">
        <v>152</v>
      </c>
      <c r="H61" s="10">
        <v>320</v>
      </c>
      <c r="I61" s="8" t="s">
        <v>60</v>
      </c>
      <c r="J61" s="6">
        <v>398</v>
      </c>
      <c r="K61" s="7">
        <f t="shared" si="1"/>
        <v>127360</v>
      </c>
      <c r="L61" s="8" t="s">
        <v>80</v>
      </c>
    </row>
    <row r="62" spans="1:12" x14ac:dyDescent="0.2">
      <c r="A62" s="8">
        <v>59</v>
      </c>
      <c r="B62" s="11" t="s">
        <v>75</v>
      </c>
      <c r="C62" s="11" t="s">
        <v>76</v>
      </c>
      <c r="D62" s="11" t="s">
        <v>153</v>
      </c>
      <c r="E62" s="11" t="s">
        <v>5</v>
      </c>
      <c r="F62" s="11" t="s">
        <v>130</v>
      </c>
      <c r="G62" s="11" t="s">
        <v>154</v>
      </c>
      <c r="H62" s="10">
        <v>290</v>
      </c>
      <c r="I62" s="8" t="s">
        <v>60</v>
      </c>
      <c r="J62" s="6">
        <v>371</v>
      </c>
      <c r="K62" s="7">
        <f t="shared" si="1"/>
        <v>107590</v>
      </c>
      <c r="L62" s="8" t="s">
        <v>80</v>
      </c>
    </row>
    <row r="63" spans="1:12" x14ac:dyDescent="0.2">
      <c r="A63" s="8">
        <v>60</v>
      </c>
      <c r="B63" s="9" t="s">
        <v>75</v>
      </c>
      <c r="C63" s="9" t="s">
        <v>76</v>
      </c>
      <c r="D63" s="9" t="s">
        <v>155</v>
      </c>
      <c r="E63" s="9" t="s">
        <v>5</v>
      </c>
      <c r="F63" s="9" t="s">
        <v>130</v>
      </c>
      <c r="G63" s="9" t="s">
        <v>156</v>
      </c>
      <c r="H63" s="10">
        <v>50</v>
      </c>
      <c r="I63" s="8" t="s">
        <v>60</v>
      </c>
      <c r="J63" s="6">
        <v>476</v>
      </c>
      <c r="K63" s="7">
        <f t="shared" si="1"/>
        <v>23800</v>
      </c>
      <c r="L63" s="8" t="s">
        <v>80</v>
      </c>
    </row>
    <row r="64" spans="1:12" x14ac:dyDescent="0.2">
      <c r="A64" s="8">
        <v>61</v>
      </c>
      <c r="B64" s="11" t="s">
        <v>75</v>
      </c>
      <c r="C64" s="11" t="s">
        <v>76</v>
      </c>
      <c r="D64" s="11" t="s">
        <v>157</v>
      </c>
      <c r="E64" s="11" t="s">
        <v>29</v>
      </c>
      <c r="F64" s="11" t="s">
        <v>158</v>
      </c>
      <c r="G64" s="11" t="s">
        <v>159</v>
      </c>
      <c r="H64" s="10">
        <v>1701</v>
      </c>
      <c r="I64" s="8" t="s">
        <v>60</v>
      </c>
      <c r="J64" s="6">
        <v>144</v>
      </c>
      <c r="K64" s="7">
        <f t="shared" si="1"/>
        <v>244944</v>
      </c>
      <c r="L64" s="8" t="s">
        <v>80</v>
      </c>
    </row>
    <row r="65" spans="1:12" x14ac:dyDescent="0.2">
      <c r="A65" s="8">
        <v>62</v>
      </c>
      <c r="B65" s="9" t="s">
        <v>75</v>
      </c>
      <c r="C65" s="9" t="s">
        <v>76</v>
      </c>
      <c r="D65" s="9" t="s">
        <v>160</v>
      </c>
      <c r="E65" s="9" t="s">
        <v>29</v>
      </c>
      <c r="F65" s="9" t="s">
        <v>158</v>
      </c>
      <c r="G65" s="9" t="s">
        <v>161</v>
      </c>
      <c r="H65" s="10">
        <v>296</v>
      </c>
      <c r="I65" s="8" t="s">
        <v>60</v>
      </c>
      <c r="J65" s="6">
        <v>103</v>
      </c>
      <c r="K65" s="7">
        <f t="shared" si="1"/>
        <v>30488</v>
      </c>
      <c r="L65" s="8" t="s">
        <v>80</v>
      </c>
    </row>
    <row r="66" spans="1:12" x14ac:dyDescent="0.2">
      <c r="A66" s="8">
        <v>63</v>
      </c>
      <c r="B66" s="11" t="s">
        <v>75</v>
      </c>
      <c r="C66" s="11" t="s">
        <v>76</v>
      </c>
      <c r="D66" s="11" t="s">
        <v>162</v>
      </c>
      <c r="E66" s="11" t="s">
        <v>29</v>
      </c>
      <c r="F66" s="11" t="s">
        <v>158</v>
      </c>
      <c r="G66" s="11" t="s">
        <v>163</v>
      </c>
      <c r="H66" s="10">
        <v>386</v>
      </c>
      <c r="I66" s="8" t="s">
        <v>60</v>
      </c>
      <c r="J66" s="6">
        <v>103</v>
      </c>
      <c r="K66" s="7">
        <f t="shared" si="1"/>
        <v>39758</v>
      </c>
      <c r="L66" s="8" t="s">
        <v>80</v>
      </c>
    </row>
    <row r="67" spans="1:12" x14ac:dyDescent="0.2">
      <c r="A67" s="8">
        <v>64</v>
      </c>
      <c r="B67" s="9" t="s">
        <v>75</v>
      </c>
      <c r="C67" s="9" t="s">
        <v>76</v>
      </c>
      <c r="D67" s="9" t="s">
        <v>164</v>
      </c>
      <c r="E67" s="9" t="s">
        <v>165</v>
      </c>
      <c r="F67" s="9" t="s">
        <v>38</v>
      </c>
      <c r="G67" s="9" t="s">
        <v>166</v>
      </c>
      <c r="H67" s="10">
        <v>3</v>
      </c>
      <c r="I67" s="8" t="s">
        <v>60</v>
      </c>
      <c r="J67" s="6">
        <v>2553</v>
      </c>
      <c r="K67" s="7">
        <f t="shared" si="1"/>
        <v>7659</v>
      </c>
      <c r="L67" s="8" t="s">
        <v>80</v>
      </c>
    </row>
    <row r="68" spans="1:12" x14ac:dyDescent="0.2">
      <c r="A68" s="8">
        <v>65</v>
      </c>
      <c r="B68" s="11" t="s">
        <v>75</v>
      </c>
      <c r="C68" s="11" t="s">
        <v>76</v>
      </c>
      <c r="D68" s="11" t="s">
        <v>167</v>
      </c>
      <c r="E68" s="11" t="s">
        <v>165</v>
      </c>
      <c r="F68" s="11" t="s">
        <v>38</v>
      </c>
      <c r="G68" s="11" t="s">
        <v>168</v>
      </c>
      <c r="H68" s="10">
        <v>138</v>
      </c>
      <c r="I68" s="8" t="s">
        <v>60</v>
      </c>
      <c r="J68" s="6">
        <v>478</v>
      </c>
      <c r="K68" s="7">
        <f t="shared" ref="K68:K99" si="2">H68*J68</f>
        <v>65964</v>
      </c>
      <c r="L68" s="8" t="s">
        <v>80</v>
      </c>
    </row>
    <row r="69" spans="1:12" x14ac:dyDescent="0.2">
      <c r="A69" s="8">
        <v>66</v>
      </c>
      <c r="B69" s="9" t="s">
        <v>169</v>
      </c>
      <c r="C69" s="9" t="s">
        <v>170</v>
      </c>
      <c r="D69" s="9" t="s">
        <v>171</v>
      </c>
      <c r="E69" s="9" t="s">
        <v>5</v>
      </c>
      <c r="F69" s="9" t="s">
        <v>6</v>
      </c>
      <c r="G69" s="9" t="s">
        <v>172</v>
      </c>
      <c r="H69" s="10">
        <v>16</v>
      </c>
      <c r="I69" s="8" t="s">
        <v>60</v>
      </c>
      <c r="J69" s="6">
        <v>24000</v>
      </c>
      <c r="K69" s="7">
        <f t="shared" si="2"/>
        <v>384000</v>
      </c>
      <c r="L69" s="8" t="s">
        <v>173</v>
      </c>
    </row>
    <row r="70" spans="1:12" x14ac:dyDescent="0.2">
      <c r="A70" s="8">
        <v>67</v>
      </c>
      <c r="B70" s="11" t="s">
        <v>169</v>
      </c>
      <c r="C70" s="11" t="s">
        <v>170</v>
      </c>
      <c r="D70" s="11" t="s">
        <v>174</v>
      </c>
      <c r="E70" s="11" t="s">
        <v>5</v>
      </c>
      <c r="F70" s="11" t="s">
        <v>175</v>
      </c>
      <c r="G70" s="11" t="s">
        <v>176</v>
      </c>
      <c r="H70" s="10">
        <v>750</v>
      </c>
      <c r="I70" s="8" t="s">
        <v>60</v>
      </c>
      <c r="J70" s="6">
        <v>500</v>
      </c>
      <c r="K70" s="7">
        <f t="shared" si="2"/>
        <v>375000</v>
      </c>
      <c r="L70" s="8" t="s">
        <v>173</v>
      </c>
    </row>
    <row r="71" spans="1:12" x14ac:dyDescent="0.2">
      <c r="A71" s="8">
        <v>68</v>
      </c>
      <c r="B71" s="9" t="s">
        <v>169</v>
      </c>
      <c r="C71" s="9" t="s">
        <v>170</v>
      </c>
      <c r="D71" s="9" t="s">
        <v>177</v>
      </c>
      <c r="E71" s="9" t="s">
        <v>5</v>
      </c>
      <c r="F71" s="9" t="s">
        <v>175</v>
      </c>
      <c r="G71" s="9" t="s">
        <v>178</v>
      </c>
      <c r="H71" s="10">
        <v>57</v>
      </c>
      <c r="I71" s="8" t="s">
        <v>60</v>
      </c>
      <c r="J71" s="6">
        <v>470</v>
      </c>
      <c r="K71" s="7">
        <f t="shared" si="2"/>
        <v>26790</v>
      </c>
      <c r="L71" s="8" t="s">
        <v>173</v>
      </c>
    </row>
    <row r="72" spans="1:12" x14ac:dyDescent="0.2">
      <c r="A72" s="8">
        <v>69</v>
      </c>
      <c r="B72" s="11" t="s">
        <v>169</v>
      </c>
      <c r="C72" s="11" t="s">
        <v>170</v>
      </c>
      <c r="D72" s="11" t="s">
        <v>179</v>
      </c>
      <c r="E72" s="11" t="s">
        <v>5</v>
      </c>
      <c r="F72" s="11" t="s">
        <v>175</v>
      </c>
      <c r="G72" s="11" t="s">
        <v>180</v>
      </c>
      <c r="H72" s="10">
        <v>113</v>
      </c>
      <c r="I72" s="8" t="s">
        <v>60</v>
      </c>
      <c r="J72" s="6">
        <v>750</v>
      </c>
      <c r="K72" s="7">
        <f t="shared" si="2"/>
        <v>84750</v>
      </c>
      <c r="L72" s="8" t="s">
        <v>173</v>
      </c>
    </row>
    <row r="73" spans="1:12" x14ac:dyDescent="0.2">
      <c r="A73" s="8">
        <v>70</v>
      </c>
      <c r="B73" s="9" t="s">
        <v>169</v>
      </c>
      <c r="C73" s="9" t="s">
        <v>170</v>
      </c>
      <c r="D73" s="9" t="s">
        <v>181</v>
      </c>
      <c r="E73" s="9" t="s">
        <v>5</v>
      </c>
      <c r="F73" s="9" t="s">
        <v>175</v>
      </c>
      <c r="G73" s="9" t="s">
        <v>182</v>
      </c>
      <c r="H73" s="10">
        <v>156</v>
      </c>
      <c r="I73" s="8" t="s">
        <v>60</v>
      </c>
      <c r="J73" s="6">
        <v>700</v>
      </c>
      <c r="K73" s="7">
        <f t="shared" si="2"/>
        <v>109200</v>
      </c>
      <c r="L73" s="8" t="s">
        <v>173</v>
      </c>
    </row>
    <row r="74" spans="1:12" x14ac:dyDescent="0.2">
      <c r="A74" s="8">
        <v>71</v>
      </c>
      <c r="B74" s="11" t="s">
        <v>169</v>
      </c>
      <c r="C74" s="11" t="s">
        <v>170</v>
      </c>
      <c r="D74" s="11" t="s">
        <v>183</v>
      </c>
      <c r="E74" s="11" t="s">
        <v>5</v>
      </c>
      <c r="F74" s="11" t="s">
        <v>175</v>
      </c>
      <c r="G74" s="11" t="s">
        <v>184</v>
      </c>
      <c r="H74" s="10">
        <v>100</v>
      </c>
      <c r="I74" s="8" t="s">
        <v>60</v>
      </c>
      <c r="J74" s="6">
        <v>850</v>
      </c>
      <c r="K74" s="7">
        <f t="shared" si="2"/>
        <v>85000</v>
      </c>
      <c r="L74" s="8" t="s">
        <v>173</v>
      </c>
    </row>
    <row r="75" spans="1:12" x14ac:dyDescent="0.2">
      <c r="A75" s="8">
        <v>72</v>
      </c>
      <c r="B75" s="9" t="s">
        <v>169</v>
      </c>
      <c r="C75" s="9" t="s">
        <v>170</v>
      </c>
      <c r="D75" s="9" t="s">
        <v>185</v>
      </c>
      <c r="E75" s="9" t="s">
        <v>5</v>
      </c>
      <c r="F75" s="9" t="s">
        <v>38</v>
      </c>
      <c r="G75" s="9" t="s">
        <v>186</v>
      </c>
      <c r="H75" s="10">
        <v>6</v>
      </c>
      <c r="I75" s="8" t="s">
        <v>60</v>
      </c>
      <c r="J75" s="6">
        <v>10000</v>
      </c>
      <c r="K75" s="7">
        <f t="shared" si="2"/>
        <v>60000</v>
      </c>
      <c r="L75" s="8" t="s">
        <v>173</v>
      </c>
    </row>
    <row r="76" spans="1:12" x14ac:dyDescent="0.2">
      <c r="A76" s="8">
        <v>73</v>
      </c>
      <c r="B76" s="11" t="s">
        <v>169</v>
      </c>
      <c r="C76" s="11" t="s">
        <v>170</v>
      </c>
      <c r="D76" s="11" t="s">
        <v>187</v>
      </c>
      <c r="E76" s="11" t="s">
        <v>29</v>
      </c>
      <c r="F76" s="11" t="s">
        <v>188</v>
      </c>
      <c r="G76" s="11" t="s">
        <v>189</v>
      </c>
      <c r="H76" s="10">
        <v>118</v>
      </c>
      <c r="I76" s="8" t="s">
        <v>190</v>
      </c>
      <c r="J76" s="6">
        <v>10000</v>
      </c>
      <c r="K76" s="7">
        <f t="shared" si="2"/>
        <v>1180000</v>
      </c>
      <c r="L76" s="8" t="s">
        <v>173</v>
      </c>
    </row>
    <row r="77" spans="1:12" x14ac:dyDescent="0.2">
      <c r="A77" s="8">
        <v>74</v>
      </c>
      <c r="B77" s="9" t="s">
        <v>169</v>
      </c>
      <c r="C77" s="9" t="s">
        <v>170</v>
      </c>
      <c r="D77" s="9" t="s">
        <v>191</v>
      </c>
      <c r="E77" s="9" t="s">
        <v>29</v>
      </c>
      <c r="F77" s="9" t="s">
        <v>38</v>
      </c>
      <c r="G77" s="9" t="s">
        <v>192</v>
      </c>
      <c r="H77" s="10">
        <v>118</v>
      </c>
      <c r="I77" s="8" t="s">
        <v>60</v>
      </c>
      <c r="J77" s="6">
        <v>2000</v>
      </c>
      <c r="K77" s="7">
        <f t="shared" si="2"/>
        <v>236000</v>
      </c>
      <c r="L77" s="8" t="s">
        <v>173</v>
      </c>
    </row>
    <row r="78" spans="1:12" x14ac:dyDescent="0.2">
      <c r="A78" s="8">
        <v>75</v>
      </c>
      <c r="B78" s="11" t="s">
        <v>169</v>
      </c>
      <c r="C78" s="11" t="s">
        <v>170</v>
      </c>
      <c r="D78" s="11" t="s">
        <v>193</v>
      </c>
      <c r="E78" s="11" t="s">
        <v>29</v>
      </c>
      <c r="F78" s="11" t="s">
        <v>194</v>
      </c>
      <c r="G78" s="11" t="s">
        <v>195</v>
      </c>
      <c r="H78" s="10">
        <v>292</v>
      </c>
      <c r="I78" s="8" t="s">
        <v>60</v>
      </c>
      <c r="J78" s="6">
        <v>750</v>
      </c>
      <c r="K78" s="7">
        <f t="shared" si="2"/>
        <v>219000</v>
      </c>
      <c r="L78" s="8" t="s">
        <v>173</v>
      </c>
    </row>
    <row r="79" spans="1:12" x14ac:dyDescent="0.2">
      <c r="A79" s="8">
        <v>76</v>
      </c>
      <c r="B79" s="9" t="s">
        <v>169</v>
      </c>
      <c r="C79" s="9" t="s">
        <v>170</v>
      </c>
      <c r="D79" s="9" t="s">
        <v>196</v>
      </c>
      <c r="E79" s="9" t="s">
        <v>29</v>
      </c>
      <c r="F79" s="9" t="s">
        <v>194</v>
      </c>
      <c r="G79" s="9" t="s">
        <v>197</v>
      </c>
      <c r="H79" s="10">
        <v>199</v>
      </c>
      <c r="I79" s="8" t="s">
        <v>60</v>
      </c>
      <c r="J79" s="6">
        <v>450</v>
      </c>
      <c r="K79" s="7">
        <f t="shared" si="2"/>
        <v>89550</v>
      </c>
      <c r="L79" s="8" t="s">
        <v>173</v>
      </c>
    </row>
    <row r="80" spans="1:12" x14ac:dyDescent="0.2">
      <c r="A80" s="8">
        <v>77</v>
      </c>
      <c r="B80" s="11" t="s">
        <v>169</v>
      </c>
      <c r="C80" s="11" t="s">
        <v>170</v>
      </c>
      <c r="D80" s="11" t="s">
        <v>198</v>
      </c>
      <c r="E80" s="11" t="s">
        <v>51</v>
      </c>
      <c r="F80" s="11" t="s">
        <v>175</v>
      </c>
      <c r="G80" s="11" t="s">
        <v>199</v>
      </c>
      <c r="H80" s="10">
        <v>1</v>
      </c>
      <c r="I80" s="8" t="s">
        <v>15</v>
      </c>
      <c r="J80" s="6">
        <v>200000</v>
      </c>
      <c r="K80" s="7">
        <f t="shared" si="2"/>
        <v>200000</v>
      </c>
      <c r="L80" s="8" t="s">
        <v>173</v>
      </c>
    </row>
    <row r="81" spans="1:12" x14ac:dyDescent="0.2">
      <c r="A81" s="8">
        <v>78</v>
      </c>
      <c r="B81" s="9" t="s">
        <v>169</v>
      </c>
      <c r="C81" s="9" t="s">
        <v>170</v>
      </c>
      <c r="D81" s="9" t="s">
        <v>200</v>
      </c>
      <c r="E81" s="9" t="s">
        <v>51</v>
      </c>
      <c r="F81" s="9" t="s">
        <v>175</v>
      </c>
      <c r="G81" s="9" t="s">
        <v>201</v>
      </c>
      <c r="H81" s="10">
        <v>1</v>
      </c>
      <c r="I81" s="8" t="s">
        <v>15</v>
      </c>
      <c r="J81" s="6">
        <v>245000</v>
      </c>
      <c r="K81" s="7">
        <f t="shared" si="2"/>
        <v>245000</v>
      </c>
      <c r="L81" s="8" t="s">
        <v>173</v>
      </c>
    </row>
    <row r="82" spans="1:12" x14ac:dyDescent="0.2">
      <c r="A82" s="8">
        <v>79</v>
      </c>
      <c r="B82" s="11" t="s">
        <v>169</v>
      </c>
      <c r="C82" s="11" t="s">
        <v>170</v>
      </c>
      <c r="D82" s="11" t="s">
        <v>202</v>
      </c>
      <c r="E82" s="11" t="s">
        <v>51</v>
      </c>
      <c r="F82" s="11" t="s">
        <v>175</v>
      </c>
      <c r="G82" s="11" t="s">
        <v>203</v>
      </c>
      <c r="H82" s="10">
        <v>1</v>
      </c>
      <c r="I82" s="8" t="s">
        <v>15</v>
      </c>
      <c r="J82" s="6">
        <v>490000</v>
      </c>
      <c r="K82" s="7">
        <f t="shared" si="2"/>
        <v>490000</v>
      </c>
      <c r="L82" s="8" t="s">
        <v>173</v>
      </c>
    </row>
    <row r="83" spans="1:12" x14ac:dyDescent="0.2">
      <c r="A83" s="8">
        <v>80</v>
      </c>
      <c r="B83" s="9" t="s">
        <v>169</v>
      </c>
      <c r="C83" s="9" t="s">
        <v>170</v>
      </c>
      <c r="D83" s="9" t="s">
        <v>204</v>
      </c>
      <c r="E83" s="9" t="s">
        <v>37</v>
      </c>
      <c r="F83" s="9" t="s">
        <v>175</v>
      </c>
      <c r="G83" s="9" t="s">
        <v>205</v>
      </c>
      <c r="H83" s="10">
        <v>11</v>
      </c>
      <c r="I83" s="8" t="s">
        <v>60</v>
      </c>
      <c r="J83" s="6">
        <v>12000</v>
      </c>
      <c r="K83" s="7">
        <f t="shared" si="2"/>
        <v>132000</v>
      </c>
      <c r="L83" s="8" t="s">
        <v>173</v>
      </c>
    </row>
    <row r="84" spans="1:12" x14ac:dyDescent="0.2">
      <c r="A84" s="8">
        <v>81</v>
      </c>
      <c r="B84" s="11" t="s">
        <v>169</v>
      </c>
      <c r="C84" s="11" t="s">
        <v>170</v>
      </c>
      <c r="D84" s="11" t="s">
        <v>206</v>
      </c>
      <c r="E84" s="11" t="s">
        <v>37</v>
      </c>
      <c r="F84" s="11" t="s">
        <v>175</v>
      </c>
      <c r="G84" s="11" t="s">
        <v>207</v>
      </c>
      <c r="H84" s="10">
        <v>8</v>
      </c>
      <c r="I84" s="8" t="s">
        <v>60</v>
      </c>
      <c r="J84" s="6">
        <v>10000</v>
      </c>
      <c r="K84" s="7">
        <f t="shared" si="2"/>
        <v>80000</v>
      </c>
      <c r="L84" s="8" t="s">
        <v>173</v>
      </c>
    </row>
    <row r="85" spans="1:12" x14ac:dyDescent="0.2">
      <c r="A85" s="8">
        <v>82</v>
      </c>
      <c r="B85" s="9" t="s">
        <v>169</v>
      </c>
      <c r="C85" s="9" t="s">
        <v>170</v>
      </c>
      <c r="D85" s="9" t="s">
        <v>208</v>
      </c>
      <c r="E85" s="9" t="s">
        <v>37</v>
      </c>
      <c r="F85" s="9" t="s">
        <v>175</v>
      </c>
      <c r="G85" s="9" t="s">
        <v>209</v>
      </c>
      <c r="H85" s="10">
        <v>8</v>
      </c>
      <c r="I85" s="8" t="s">
        <v>60</v>
      </c>
      <c r="J85" s="6">
        <v>8000</v>
      </c>
      <c r="K85" s="7">
        <f t="shared" si="2"/>
        <v>64000</v>
      </c>
      <c r="L85" s="8" t="s">
        <v>173</v>
      </c>
    </row>
    <row r="86" spans="1:12" x14ac:dyDescent="0.2">
      <c r="A86" s="8">
        <v>83</v>
      </c>
      <c r="B86" s="11" t="s">
        <v>169</v>
      </c>
      <c r="C86" s="11" t="s">
        <v>170</v>
      </c>
      <c r="D86" s="11" t="s">
        <v>210</v>
      </c>
      <c r="E86" s="11" t="s">
        <v>37</v>
      </c>
      <c r="F86" s="11" t="s">
        <v>175</v>
      </c>
      <c r="G86" s="11" t="s">
        <v>211</v>
      </c>
      <c r="H86" s="10">
        <v>15</v>
      </c>
      <c r="I86" s="8" t="s">
        <v>60</v>
      </c>
      <c r="J86" s="6">
        <v>7000</v>
      </c>
      <c r="K86" s="7">
        <f t="shared" si="2"/>
        <v>105000</v>
      </c>
      <c r="L86" s="8" t="s">
        <v>173</v>
      </c>
    </row>
    <row r="87" spans="1:12" x14ac:dyDescent="0.2">
      <c r="A87" s="8">
        <v>84</v>
      </c>
      <c r="B87" s="9" t="s">
        <v>169</v>
      </c>
      <c r="C87" s="9" t="s">
        <v>170</v>
      </c>
      <c r="D87" s="9" t="s">
        <v>212</v>
      </c>
      <c r="E87" s="9" t="s">
        <v>37</v>
      </c>
      <c r="F87" s="9" t="s">
        <v>175</v>
      </c>
      <c r="G87" s="9" t="s">
        <v>213</v>
      </c>
      <c r="H87" s="10">
        <v>6</v>
      </c>
      <c r="I87" s="8" t="s">
        <v>60</v>
      </c>
      <c r="J87" s="6">
        <v>5500</v>
      </c>
      <c r="K87" s="7">
        <f t="shared" si="2"/>
        <v>33000</v>
      </c>
      <c r="L87" s="8" t="s">
        <v>173</v>
      </c>
    </row>
    <row r="88" spans="1:12" x14ac:dyDescent="0.2">
      <c r="A88" s="8">
        <v>85</v>
      </c>
      <c r="B88" s="11" t="s">
        <v>169</v>
      </c>
      <c r="C88" s="11" t="s">
        <v>170</v>
      </c>
      <c r="D88" s="11" t="s">
        <v>214</v>
      </c>
      <c r="E88" s="11" t="s">
        <v>37</v>
      </c>
      <c r="F88" s="11" t="s">
        <v>175</v>
      </c>
      <c r="G88" s="11" t="s">
        <v>215</v>
      </c>
      <c r="H88" s="10">
        <v>10</v>
      </c>
      <c r="I88" s="8" t="s">
        <v>60</v>
      </c>
      <c r="J88" s="6">
        <v>3500</v>
      </c>
      <c r="K88" s="7">
        <f t="shared" si="2"/>
        <v>35000</v>
      </c>
      <c r="L88" s="8" t="s">
        <v>173</v>
      </c>
    </row>
    <row r="89" spans="1:12" x14ac:dyDescent="0.2">
      <c r="A89" s="8">
        <v>86</v>
      </c>
      <c r="B89" s="9" t="s">
        <v>169</v>
      </c>
      <c r="C89" s="9" t="s">
        <v>170</v>
      </c>
      <c r="D89" s="9" t="s">
        <v>216</v>
      </c>
      <c r="E89" s="9" t="s">
        <v>37</v>
      </c>
      <c r="F89" s="9" t="s">
        <v>175</v>
      </c>
      <c r="G89" s="9" t="s">
        <v>217</v>
      </c>
      <c r="H89" s="10">
        <v>10</v>
      </c>
      <c r="I89" s="8" t="s">
        <v>60</v>
      </c>
      <c r="J89" s="6">
        <v>3500</v>
      </c>
      <c r="K89" s="7">
        <f t="shared" si="2"/>
        <v>35000</v>
      </c>
      <c r="L89" s="8" t="s">
        <v>173</v>
      </c>
    </row>
    <row r="90" spans="1:12" x14ac:dyDescent="0.2">
      <c r="A90" s="8">
        <v>87</v>
      </c>
      <c r="B90" s="11" t="s">
        <v>169</v>
      </c>
      <c r="C90" s="11" t="s">
        <v>170</v>
      </c>
      <c r="D90" s="11" t="s">
        <v>218</v>
      </c>
      <c r="E90" s="11" t="s">
        <v>37</v>
      </c>
      <c r="F90" s="11" t="s">
        <v>175</v>
      </c>
      <c r="G90" s="11" t="s">
        <v>219</v>
      </c>
      <c r="H90" s="10">
        <v>15</v>
      </c>
      <c r="I90" s="8" t="s">
        <v>60</v>
      </c>
      <c r="J90" s="6">
        <v>2500</v>
      </c>
      <c r="K90" s="7">
        <f t="shared" si="2"/>
        <v>37500</v>
      </c>
      <c r="L90" s="8" t="s">
        <v>173</v>
      </c>
    </row>
    <row r="91" spans="1:12" x14ac:dyDescent="0.2">
      <c r="A91" s="8">
        <v>88</v>
      </c>
      <c r="B91" s="9" t="s">
        <v>169</v>
      </c>
      <c r="C91" s="9" t="s">
        <v>170</v>
      </c>
      <c r="D91" s="9" t="s">
        <v>220</v>
      </c>
      <c r="E91" s="9" t="s">
        <v>37</v>
      </c>
      <c r="F91" s="9" t="s">
        <v>175</v>
      </c>
      <c r="G91" s="9" t="s">
        <v>221</v>
      </c>
      <c r="H91" s="10">
        <v>20</v>
      </c>
      <c r="I91" s="8" t="s">
        <v>60</v>
      </c>
      <c r="J91" s="6">
        <v>3500</v>
      </c>
      <c r="K91" s="7">
        <f t="shared" si="2"/>
        <v>70000</v>
      </c>
      <c r="L91" s="8" t="s">
        <v>173</v>
      </c>
    </row>
    <row r="92" spans="1:12" x14ac:dyDescent="0.2">
      <c r="A92" s="8">
        <v>89</v>
      </c>
      <c r="B92" s="11" t="s">
        <v>169</v>
      </c>
      <c r="C92" s="11" t="s">
        <v>170</v>
      </c>
      <c r="D92" s="11" t="s">
        <v>222</v>
      </c>
      <c r="E92" s="11" t="s">
        <v>37</v>
      </c>
      <c r="F92" s="11" t="s">
        <v>175</v>
      </c>
      <c r="G92" s="11" t="s">
        <v>223</v>
      </c>
      <c r="H92" s="10">
        <v>10</v>
      </c>
      <c r="I92" s="8" t="s">
        <v>60</v>
      </c>
      <c r="J92" s="6">
        <v>4500</v>
      </c>
      <c r="K92" s="7">
        <f t="shared" si="2"/>
        <v>45000</v>
      </c>
      <c r="L92" s="8" t="s">
        <v>173</v>
      </c>
    </row>
    <row r="93" spans="1:12" x14ac:dyDescent="0.2">
      <c r="A93" s="8">
        <v>90</v>
      </c>
      <c r="B93" s="9" t="s">
        <v>169</v>
      </c>
      <c r="C93" s="9" t="s">
        <v>170</v>
      </c>
      <c r="D93" s="9" t="s">
        <v>224</v>
      </c>
      <c r="E93" s="9" t="s">
        <v>37</v>
      </c>
      <c r="F93" s="9" t="s">
        <v>175</v>
      </c>
      <c r="G93" s="9" t="s">
        <v>225</v>
      </c>
      <c r="H93" s="10">
        <v>6</v>
      </c>
      <c r="I93" s="8" t="s">
        <v>60</v>
      </c>
      <c r="J93" s="6">
        <v>12000</v>
      </c>
      <c r="K93" s="7">
        <f t="shared" si="2"/>
        <v>72000</v>
      </c>
      <c r="L93" s="8" t="s">
        <v>173</v>
      </c>
    </row>
    <row r="94" spans="1:12" x14ac:dyDescent="0.2">
      <c r="A94" s="8">
        <v>91</v>
      </c>
      <c r="B94" s="11" t="s">
        <v>169</v>
      </c>
      <c r="C94" s="11" t="s">
        <v>170</v>
      </c>
      <c r="D94" s="11" t="s">
        <v>226</v>
      </c>
      <c r="E94" s="11" t="s">
        <v>37</v>
      </c>
      <c r="F94" s="11" t="s">
        <v>175</v>
      </c>
      <c r="G94" s="11" t="s">
        <v>227</v>
      </c>
      <c r="H94" s="10">
        <v>8</v>
      </c>
      <c r="I94" s="8" t="s">
        <v>60</v>
      </c>
      <c r="J94" s="6">
        <v>15000</v>
      </c>
      <c r="K94" s="7">
        <f t="shared" si="2"/>
        <v>120000</v>
      </c>
      <c r="L94" s="8" t="s">
        <v>173</v>
      </c>
    </row>
    <row r="95" spans="1:12" x14ac:dyDescent="0.2">
      <c r="A95" s="8">
        <v>92</v>
      </c>
      <c r="B95" s="9" t="s">
        <v>169</v>
      </c>
      <c r="C95" s="9" t="s">
        <v>170</v>
      </c>
      <c r="D95" s="9" t="s">
        <v>228</v>
      </c>
      <c r="E95" s="9" t="s">
        <v>37</v>
      </c>
      <c r="F95" s="9" t="s">
        <v>175</v>
      </c>
      <c r="G95" s="9" t="s">
        <v>229</v>
      </c>
      <c r="H95" s="10">
        <v>8</v>
      </c>
      <c r="I95" s="8" t="s">
        <v>60</v>
      </c>
      <c r="J95" s="6">
        <v>12000</v>
      </c>
      <c r="K95" s="7">
        <f t="shared" si="2"/>
        <v>96000</v>
      </c>
      <c r="L95" s="8" t="s">
        <v>173</v>
      </c>
    </row>
    <row r="96" spans="1:12" x14ac:dyDescent="0.2">
      <c r="A96" s="8">
        <v>93</v>
      </c>
      <c r="B96" s="11" t="s">
        <v>169</v>
      </c>
      <c r="C96" s="11" t="s">
        <v>170</v>
      </c>
      <c r="D96" s="11" t="s">
        <v>230</v>
      </c>
      <c r="E96" s="11" t="s">
        <v>37</v>
      </c>
      <c r="F96" s="11" t="s">
        <v>231</v>
      </c>
      <c r="G96" s="11" t="s">
        <v>232</v>
      </c>
      <c r="H96" s="10">
        <v>20</v>
      </c>
      <c r="I96" s="8" t="s">
        <v>60</v>
      </c>
      <c r="J96" s="6">
        <v>17000</v>
      </c>
      <c r="K96" s="7">
        <f t="shared" si="2"/>
        <v>340000</v>
      </c>
      <c r="L96" s="8" t="s">
        <v>173</v>
      </c>
    </row>
    <row r="97" spans="1:12" x14ac:dyDescent="0.2">
      <c r="A97" s="8">
        <v>94</v>
      </c>
      <c r="B97" s="9" t="s">
        <v>169</v>
      </c>
      <c r="C97" s="9" t="s">
        <v>170</v>
      </c>
      <c r="D97" s="9" t="s">
        <v>233</v>
      </c>
      <c r="E97" s="9" t="s">
        <v>94</v>
      </c>
      <c r="F97" s="9" t="s">
        <v>13</v>
      </c>
      <c r="G97" s="9" t="s">
        <v>234</v>
      </c>
      <c r="H97" s="10">
        <v>70</v>
      </c>
      <c r="I97" s="8" t="s">
        <v>60</v>
      </c>
      <c r="J97" s="6">
        <v>200</v>
      </c>
      <c r="K97" s="7">
        <f t="shared" si="2"/>
        <v>14000</v>
      </c>
      <c r="L97" s="8" t="s">
        <v>173</v>
      </c>
    </row>
    <row r="98" spans="1:12" x14ac:dyDescent="0.2">
      <c r="A98" s="8">
        <v>95</v>
      </c>
      <c r="B98" s="11" t="s">
        <v>169</v>
      </c>
      <c r="C98" s="11" t="s">
        <v>170</v>
      </c>
      <c r="D98" s="11" t="s">
        <v>235</v>
      </c>
      <c r="E98" s="11" t="s">
        <v>94</v>
      </c>
      <c r="F98" s="11" t="s">
        <v>13</v>
      </c>
      <c r="G98" s="11" t="s">
        <v>95</v>
      </c>
      <c r="H98" s="10">
        <v>60</v>
      </c>
      <c r="I98" s="8" t="s">
        <v>60</v>
      </c>
      <c r="J98" s="6">
        <v>400</v>
      </c>
      <c r="K98" s="7">
        <f t="shared" si="2"/>
        <v>24000</v>
      </c>
      <c r="L98" s="8" t="s">
        <v>173</v>
      </c>
    </row>
    <row r="99" spans="1:12" x14ac:dyDescent="0.2">
      <c r="A99" s="8">
        <v>96</v>
      </c>
      <c r="B99" s="9" t="s">
        <v>169</v>
      </c>
      <c r="C99" s="9" t="s">
        <v>170</v>
      </c>
      <c r="D99" s="9" t="s">
        <v>236</v>
      </c>
      <c r="E99" s="9" t="s">
        <v>94</v>
      </c>
      <c r="F99" s="9" t="s">
        <v>13</v>
      </c>
      <c r="G99" s="9" t="s">
        <v>237</v>
      </c>
      <c r="H99" s="10">
        <v>20</v>
      </c>
      <c r="I99" s="8" t="s">
        <v>60</v>
      </c>
      <c r="J99" s="6">
        <v>250</v>
      </c>
      <c r="K99" s="7">
        <f t="shared" si="2"/>
        <v>5000</v>
      </c>
      <c r="L99" s="8" t="s">
        <v>173</v>
      </c>
    </row>
    <row r="100" spans="1:12" x14ac:dyDescent="0.2">
      <c r="A100" s="8">
        <v>97</v>
      </c>
      <c r="B100" s="11" t="s">
        <v>238</v>
      </c>
      <c r="C100" s="11" t="s">
        <v>170</v>
      </c>
      <c r="D100" s="11" t="s">
        <v>239</v>
      </c>
      <c r="E100" s="11" t="s">
        <v>5</v>
      </c>
      <c r="F100" s="11" t="s">
        <v>125</v>
      </c>
      <c r="G100" s="11" t="s">
        <v>240</v>
      </c>
      <c r="H100" s="10">
        <v>1</v>
      </c>
      <c r="I100" s="8" t="s">
        <v>60</v>
      </c>
      <c r="J100" s="6">
        <v>18500</v>
      </c>
      <c r="K100" s="7">
        <f t="shared" ref="K100:K131" si="3">H100*J100</f>
        <v>18500</v>
      </c>
      <c r="L100" s="8" t="s">
        <v>241</v>
      </c>
    </row>
    <row r="101" spans="1:12" x14ac:dyDescent="0.2">
      <c r="A101" s="8">
        <v>98</v>
      </c>
      <c r="B101" s="9" t="s">
        <v>238</v>
      </c>
      <c r="C101" s="9" t="s">
        <v>170</v>
      </c>
      <c r="D101" s="9" t="s">
        <v>242</v>
      </c>
      <c r="E101" s="9" t="s">
        <v>5</v>
      </c>
      <c r="F101" s="9" t="s">
        <v>125</v>
      </c>
      <c r="G101" s="9" t="s">
        <v>243</v>
      </c>
      <c r="H101" s="10">
        <v>1</v>
      </c>
      <c r="I101" s="8" t="s">
        <v>60</v>
      </c>
      <c r="J101" s="6">
        <v>8500</v>
      </c>
      <c r="K101" s="7">
        <f t="shared" si="3"/>
        <v>8500</v>
      </c>
      <c r="L101" s="8" t="s">
        <v>241</v>
      </c>
    </row>
    <row r="102" spans="1:12" x14ac:dyDescent="0.2">
      <c r="A102" s="8">
        <v>99</v>
      </c>
      <c r="B102" s="11" t="s">
        <v>238</v>
      </c>
      <c r="C102" s="11" t="s">
        <v>170</v>
      </c>
      <c r="D102" s="11" t="s">
        <v>244</v>
      </c>
      <c r="E102" s="11" t="s">
        <v>5</v>
      </c>
      <c r="F102" s="11" t="s">
        <v>245</v>
      </c>
      <c r="G102" s="11" t="s">
        <v>246</v>
      </c>
      <c r="H102" s="10">
        <v>117</v>
      </c>
      <c r="I102" s="8" t="s">
        <v>60</v>
      </c>
      <c r="J102" s="6">
        <v>550</v>
      </c>
      <c r="K102" s="7">
        <f t="shared" si="3"/>
        <v>64350</v>
      </c>
      <c r="L102" s="8" t="s">
        <v>241</v>
      </c>
    </row>
    <row r="103" spans="1:12" x14ac:dyDescent="0.2">
      <c r="A103" s="8">
        <v>100</v>
      </c>
      <c r="B103" s="9" t="s">
        <v>238</v>
      </c>
      <c r="C103" s="9" t="s">
        <v>170</v>
      </c>
      <c r="D103" s="9" t="s">
        <v>247</v>
      </c>
      <c r="E103" s="9" t="s">
        <v>5</v>
      </c>
      <c r="F103" s="9" t="s">
        <v>245</v>
      </c>
      <c r="G103" s="9" t="s">
        <v>141</v>
      </c>
      <c r="H103" s="10">
        <v>5</v>
      </c>
      <c r="I103" s="8" t="s">
        <v>60</v>
      </c>
      <c r="J103" s="6">
        <v>550</v>
      </c>
      <c r="K103" s="7">
        <f t="shared" si="3"/>
        <v>2750</v>
      </c>
      <c r="L103" s="8" t="s">
        <v>241</v>
      </c>
    </row>
    <row r="104" spans="1:12" x14ac:dyDescent="0.2">
      <c r="A104" s="8">
        <v>101</v>
      </c>
      <c r="B104" s="11" t="s">
        <v>238</v>
      </c>
      <c r="C104" s="11" t="s">
        <v>170</v>
      </c>
      <c r="D104" s="11" t="s">
        <v>248</v>
      </c>
      <c r="E104" s="11" t="s">
        <v>5</v>
      </c>
      <c r="F104" s="11" t="s">
        <v>245</v>
      </c>
      <c r="G104" s="11" t="s">
        <v>249</v>
      </c>
      <c r="H104" s="10">
        <v>5</v>
      </c>
      <c r="I104" s="8" t="s">
        <v>60</v>
      </c>
      <c r="J104" s="6">
        <v>150</v>
      </c>
      <c r="K104" s="7">
        <f t="shared" si="3"/>
        <v>750</v>
      </c>
      <c r="L104" s="8" t="s">
        <v>241</v>
      </c>
    </row>
    <row r="105" spans="1:12" x14ac:dyDescent="0.2">
      <c r="A105" s="8">
        <v>102</v>
      </c>
      <c r="B105" s="9" t="s">
        <v>238</v>
      </c>
      <c r="C105" s="9" t="s">
        <v>170</v>
      </c>
      <c r="D105" s="9" t="s">
        <v>250</v>
      </c>
      <c r="E105" s="9" t="s">
        <v>5</v>
      </c>
      <c r="F105" s="9" t="s">
        <v>175</v>
      </c>
      <c r="G105" s="9" t="s">
        <v>154</v>
      </c>
      <c r="H105" s="10">
        <v>5</v>
      </c>
      <c r="I105" s="8" t="s">
        <v>60</v>
      </c>
      <c r="J105" s="6">
        <v>600</v>
      </c>
      <c r="K105" s="7">
        <f t="shared" si="3"/>
        <v>3000</v>
      </c>
      <c r="L105" s="8" t="s">
        <v>241</v>
      </c>
    </row>
    <row r="106" spans="1:12" x14ac:dyDescent="0.2">
      <c r="A106" s="8">
        <v>103</v>
      </c>
      <c r="B106" s="11" t="s">
        <v>238</v>
      </c>
      <c r="C106" s="11" t="s">
        <v>170</v>
      </c>
      <c r="D106" s="11" t="s">
        <v>251</v>
      </c>
      <c r="E106" s="11" t="s">
        <v>5</v>
      </c>
      <c r="F106" s="11" t="s">
        <v>175</v>
      </c>
      <c r="G106" s="11" t="s">
        <v>252</v>
      </c>
      <c r="H106" s="10">
        <v>5</v>
      </c>
      <c r="I106" s="8" t="s">
        <v>60</v>
      </c>
      <c r="J106" s="6">
        <v>650</v>
      </c>
      <c r="K106" s="7">
        <f t="shared" si="3"/>
        <v>3250</v>
      </c>
      <c r="L106" s="8" t="s">
        <v>241</v>
      </c>
    </row>
    <row r="107" spans="1:12" x14ac:dyDescent="0.2">
      <c r="A107" s="8">
        <v>104</v>
      </c>
      <c r="B107" s="9" t="s">
        <v>238</v>
      </c>
      <c r="C107" s="9" t="s">
        <v>170</v>
      </c>
      <c r="D107" s="9" t="s">
        <v>253</v>
      </c>
      <c r="E107" s="9" t="s">
        <v>5</v>
      </c>
      <c r="F107" s="9" t="s">
        <v>38</v>
      </c>
      <c r="G107" s="9" t="s">
        <v>254</v>
      </c>
      <c r="H107" s="10">
        <v>38</v>
      </c>
      <c r="I107" s="8" t="s">
        <v>60</v>
      </c>
      <c r="J107" s="6">
        <v>150</v>
      </c>
      <c r="K107" s="7">
        <f t="shared" si="3"/>
        <v>5700</v>
      </c>
      <c r="L107" s="8" t="s">
        <v>241</v>
      </c>
    </row>
    <row r="108" spans="1:12" x14ac:dyDescent="0.2">
      <c r="A108" s="8">
        <v>105</v>
      </c>
      <c r="B108" s="11" t="s">
        <v>238</v>
      </c>
      <c r="C108" s="11" t="s">
        <v>170</v>
      </c>
      <c r="D108" s="11" t="s">
        <v>255</v>
      </c>
      <c r="E108" s="11" t="s">
        <v>5</v>
      </c>
      <c r="F108" s="11" t="s">
        <v>256</v>
      </c>
      <c r="G108" s="11" t="s">
        <v>257</v>
      </c>
      <c r="H108" s="10">
        <v>5</v>
      </c>
      <c r="I108" s="8" t="s">
        <v>60</v>
      </c>
      <c r="J108" s="6">
        <v>750</v>
      </c>
      <c r="K108" s="7">
        <f t="shared" si="3"/>
        <v>3750</v>
      </c>
      <c r="L108" s="8" t="s">
        <v>241</v>
      </c>
    </row>
    <row r="109" spans="1:12" x14ac:dyDescent="0.2">
      <c r="A109" s="8">
        <v>106</v>
      </c>
      <c r="B109" s="9" t="s">
        <v>238</v>
      </c>
      <c r="C109" s="9" t="s">
        <v>170</v>
      </c>
      <c r="D109" s="9" t="s">
        <v>258</v>
      </c>
      <c r="E109" s="9" t="s">
        <v>5</v>
      </c>
      <c r="F109" s="9" t="s">
        <v>38</v>
      </c>
      <c r="G109" s="9" t="s">
        <v>259</v>
      </c>
      <c r="H109" s="10">
        <v>5</v>
      </c>
      <c r="I109" s="8" t="s">
        <v>60</v>
      </c>
      <c r="J109" s="6">
        <v>3500</v>
      </c>
      <c r="K109" s="7">
        <f t="shared" si="3"/>
        <v>17500</v>
      </c>
      <c r="L109" s="8" t="s">
        <v>241</v>
      </c>
    </row>
    <row r="110" spans="1:12" x14ac:dyDescent="0.2">
      <c r="A110" s="8">
        <v>107</v>
      </c>
      <c r="B110" s="11" t="s">
        <v>238</v>
      </c>
      <c r="C110" s="11" t="s">
        <v>170</v>
      </c>
      <c r="D110" s="11" t="s">
        <v>260</v>
      </c>
      <c r="E110" s="11" t="s">
        <v>261</v>
      </c>
      <c r="F110" s="11" t="s">
        <v>262</v>
      </c>
      <c r="G110" s="11" t="s">
        <v>263</v>
      </c>
      <c r="H110" s="10">
        <v>1</v>
      </c>
      <c r="I110" s="8" t="s">
        <v>60</v>
      </c>
      <c r="J110" s="6">
        <v>20500</v>
      </c>
      <c r="K110" s="7">
        <f t="shared" si="3"/>
        <v>20500</v>
      </c>
      <c r="L110" s="8" t="s">
        <v>241</v>
      </c>
    </row>
    <row r="111" spans="1:12" x14ac:dyDescent="0.2">
      <c r="A111" s="8">
        <v>108</v>
      </c>
      <c r="B111" s="9" t="s">
        <v>238</v>
      </c>
      <c r="C111" s="9" t="s">
        <v>170</v>
      </c>
      <c r="D111" s="9" t="s">
        <v>264</v>
      </c>
      <c r="E111" s="9" t="s">
        <v>261</v>
      </c>
      <c r="F111" s="9" t="s">
        <v>265</v>
      </c>
      <c r="G111" s="9" t="s">
        <v>266</v>
      </c>
      <c r="H111" s="10">
        <v>1</v>
      </c>
      <c r="I111" s="8" t="s">
        <v>60</v>
      </c>
      <c r="J111" s="6">
        <v>16000</v>
      </c>
      <c r="K111" s="7">
        <f t="shared" si="3"/>
        <v>16000</v>
      </c>
      <c r="L111" s="8" t="s">
        <v>241</v>
      </c>
    </row>
    <row r="112" spans="1:12" x14ac:dyDescent="0.2">
      <c r="A112" s="8">
        <v>109</v>
      </c>
      <c r="B112" s="11" t="s">
        <v>238</v>
      </c>
      <c r="C112" s="11" t="s">
        <v>170</v>
      </c>
      <c r="D112" s="11" t="s">
        <v>267</v>
      </c>
      <c r="E112" s="11" t="s">
        <v>261</v>
      </c>
      <c r="F112" s="11" t="s">
        <v>268</v>
      </c>
      <c r="G112" s="11" t="s">
        <v>269</v>
      </c>
      <c r="H112" s="10">
        <v>9</v>
      </c>
      <c r="I112" s="8" t="s">
        <v>60</v>
      </c>
      <c r="J112" s="6">
        <v>450</v>
      </c>
      <c r="K112" s="7">
        <f t="shared" si="3"/>
        <v>4050</v>
      </c>
      <c r="L112" s="8" t="s">
        <v>241</v>
      </c>
    </row>
    <row r="113" spans="1:12" x14ac:dyDescent="0.2">
      <c r="A113" s="8">
        <v>110</v>
      </c>
      <c r="B113" s="9" t="s">
        <v>238</v>
      </c>
      <c r="C113" s="9" t="s">
        <v>170</v>
      </c>
      <c r="D113" s="9" t="s">
        <v>270</v>
      </c>
      <c r="E113" s="9" t="s">
        <v>261</v>
      </c>
      <c r="F113" s="9" t="s">
        <v>271</v>
      </c>
      <c r="G113" s="9" t="s">
        <v>272</v>
      </c>
      <c r="H113" s="10">
        <v>3</v>
      </c>
      <c r="I113" s="8" t="s">
        <v>60</v>
      </c>
      <c r="J113" s="6">
        <v>550</v>
      </c>
      <c r="K113" s="7">
        <f t="shared" si="3"/>
        <v>1650</v>
      </c>
      <c r="L113" s="8" t="s">
        <v>241</v>
      </c>
    </row>
    <row r="114" spans="1:12" x14ac:dyDescent="0.2">
      <c r="A114" s="8">
        <v>111</v>
      </c>
      <c r="B114" s="11" t="s">
        <v>238</v>
      </c>
      <c r="C114" s="11" t="s">
        <v>170</v>
      </c>
      <c r="D114" s="11" t="s">
        <v>273</v>
      </c>
      <c r="E114" s="11" t="s">
        <v>261</v>
      </c>
      <c r="F114" s="11" t="s">
        <v>271</v>
      </c>
      <c r="G114" s="11" t="s">
        <v>274</v>
      </c>
      <c r="H114" s="10">
        <v>3</v>
      </c>
      <c r="I114" s="8" t="s">
        <v>60</v>
      </c>
      <c r="J114" s="6">
        <v>1250</v>
      </c>
      <c r="K114" s="7">
        <f t="shared" si="3"/>
        <v>3750</v>
      </c>
      <c r="L114" s="8" t="s">
        <v>241</v>
      </c>
    </row>
    <row r="115" spans="1:12" x14ac:dyDescent="0.2">
      <c r="A115" s="8">
        <v>112</v>
      </c>
      <c r="B115" s="9" t="s">
        <v>238</v>
      </c>
      <c r="C115" s="9" t="s">
        <v>170</v>
      </c>
      <c r="D115" s="9" t="s">
        <v>275</v>
      </c>
      <c r="E115" s="9" t="s">
        <v>29</v>
      </c>
      <c r="F115" s="9" t="s">
        <v>276</v>
      </c>
      <c r="G115" s="9" t="s">
        <v>277</v>
      </c>
      <c r="H115" s="10">
        <v>11</v>
      </c>
      <c r="I115" s="8" t="s">
        <v>60</v>
      </c>
      <c r="J115" s="6">
        <v>350</v>
      </c>
      <c r="K115" s="7">
        <f t="shared" si="3"/>
        <v>3850</v>
      </c>
      <c r="L115" s="8" t="s">
        <v>241</v>
      </c>
    </row>
    <row r="116" spans="1:12" x14ac:dyDescent="0.2">
      <c r="A116" s="8">
        <v>113</v>
      </c>
      <c r="B116" s="11" t="s">
        <v>238</v>
      </c>
      <c r="C116" s="11" t="s">
        <v>170</v>
      </c>
      <c r="D116" s="11" t="s">
        <v>278</v>
      </c>
      <c r="E116" s="11" t="s">
        <v>37</v>
      </c>
      <c r="F116" s="11" t="s">
        <v>279</v>
      </c>
      <c r="G116" s="11" t="s">
        <v>280</v>
      </c>
      <c r="H116" s="10">
        <v>4</v>
      </c>
      <c r="I116" s="8" t="s">
        <v>60</v>
      </c>
      <c r="J116" s="6">
        <v>4000</v>
      </c>
      <c r="K116" s="7">
        <f t="shared" si="3"/>
        <v>16000</v>
      </c>
      <c r="L116" s="8" t="s">
        <v>281</v>
      </c>
    </row>
    <row r="117" spans="1:12" x14ac:dyDescent="0.2">
      <c r="A117" s="8">
        <v>114</v>
      </c>
      <c r="B117" s="9" t="s">
        <v>238</v>
      </c>
      <c r="C117" s="9" t="s">
        <v>170</v>
      </c>
      <c r="D117" s="9" t="s">
        <v>282</v>
      </c>
      <c r="E117" s="9" t="s">
        <v>37</v>
      </c>
      <c r="F117" s="9" t="s">
        <v>283</v>
      </c>
      <c r="G117" s="9" t="s">
        <v>284</v>
      </c>
      <c r="H117" s="10">
        <v>3</v>
      </c>
      <c r="I117" s="8" t="s">
        <v>60</v>
      </c>
      <c r="J117" s="6">
        <v>5000</v>
      </c>
      <c r="K117" s="7">
        <f t="shared" si="3"/>
        <v>15000</v>
      </c>
      <c r="L117" s="8" t="s">
        <v>281</v>
      </c>
    </row>
    <row r="118" spans="1:12" x14ac:dyDescent="0.2">
      <c r="A118" s="8">
        <v>115</v>
      </c>
      <c r="B118" s="11" t="s">
        <v>285</v>
      </c>
      <c r="C118" s="11" t="s">
        <v>170</v>
      </c>
      <c r="D118" s="11" t="s">
        <v>286</v>
      </c>
      <c r="E118" s="11" t="s">
        <v>287</v>
      </c>
      <c r="F118" s="11" t="s">
        <v>175</v>
      </c>
      <c r="G118" s="11" t="s">
        <v>288</v>
      </c>
      <c r="H118" s="10">
        <v>1</v>
      </c>
      <c r="I118" s="8" t="s">
        <v>15</v>
      </c>
      <c r="J118" s="6">
        <v>21900</v>
      </c>
      <c r="K118" s="7">
        <f t="shared" si="3"/>
        <v>21900</v>
      </c>
      <c r="L118" s="8" t="s">
        <v>289</v>
      </c>
    </row>
    <row r="119" spans="1:12" x14ac:dyDescent="0.2">
      <c r="A119" s="8">
        <v>116</v>
      </c>
      <c r="B119" s="9" t="s">
        <v>285</v>
      </c>
      <c r="C119" s="9" t="s">
        <v>170</v>
      </c>
      <c r="D119" s="9" t="s">
        <v>290</v>
      </c>
      <c r="E119" s="9" t="s">
        <v>287</v>
      </c>
      <c r="F119" s="9" t="s">
        <v>175</v>
      </c>
      <c r="G119" s="9" t="s">
        <v>291</v>
      </c>
      <c r="H119" s="10">
        <v>260</v>
      </c>
      <c r="I119" s="8" t="s">
        <v>292</v>
      </c>
      <c r="J119" s="6">
        <v>250</v>
      </c>
      <c r="K119" s="7">
        <f t="shared" si="3"/>
        <v>65000</v>
      </c>
      <c r="L119" s="8" t="s">
        <v>289</v>
      </c>
    </row>
    <row r="120" spans="1:12" x14ac:dyDescent="0.2">
      <c r="A120" s="8">
        <v>117</v>
      </c>
      <c r="B120" s="11" t="s">
        <v>285</v>
      </c>
      <c r="C120" s="11" t="s">
        <v>170</v>
      </c>
      <c r="D120" s="11" t="s">
        <v>293</v>
      </c>
      <c r="E120" s="11" t="s">
        <v>287</v>
      </c>
      <c r="F120" s="11" t="s">
        <v>122</v>
      </c>
      <c r="G120" s="11" t="s">
        <v>294</v>
      </c>
      <c r="H120" s="10">
        <v>1</v>
      </c>
      <c r="I120" s="8" t="s">
        <v>19</v>
      </c>
      <c r="J120" s="6">
        <v>2650</v>
      </c>
      <c r="K120" s="7">
        <f t="shared" si="3"/>
        <v>2650</v>
      </c>
      <c r="L120" s="8" t="s">
        <v>289</v>
      </c>
    </row>
    <row r="121" spans="1:12" x14ac:dyDescent="0.2">
      <c r="A121" s="8">
        <v>118</v>
      </c>
      <c r="B121" s="9" t="s">
        <v>285</v>
      </c>
      <c r="C121" s="9" t="s">
        <v>170</v>
      </c>
      <c r="D121" s="9" t="s">
        <v>295</v>
      </c>
      <c r="E121" s="9" t="s">
        <v>287</v>
      </c>
      <c r="F121" s="9" t="s">
        <v>122</v>
      </c>
      <c r="G121" s="9" t="s">
        <v>296</v>
      </c>
      <c r="H121" s="10">
        <v>1</v>
      </c>
      <c r="I121" s="8" t="s">
        <v>19</v>
      </c>
      <c r="J121" s="6">
        <v>350</v>
      </c>
      <c r="K121" s="7">
        <f t="shared" si="3"/>
        <v>350</v>
      </c>
      <c r="L121" s="8" t="s">
        <v>289</v>
      </c>
    </row>
    <row r="122" spans="1:12" x14ac:dyDescent="0.2">
      <c r="A122" s="8">
        <v>119</v>
      </c>
      <c r="B122" s="11" t="s">
        <v>285</v>
      </c>
      <c r="C122" s="11" t="s">
        <v>170</v>
      </c>
      <c r="D122" s="11" t="s">
        <v>297</v>
      </c>
      <c r="E122" s="11" t="s">
        <v>287</v>
      </c>
      <c r="F122" s="11" t="s">
        <v>298</v>
      </c>
      <c r="G122" s="11" t="s">
        <v>299</v>
      </c>
      <c r="H122" s="10">
        <v>1</v>
      </c>
      <c r="I122" s="8" t="s">
        <v>19</v>
      </c>
      <c r="J122" s="6">
        <v>1250</v>
      </c>
      <c r="K122" s="7">
        <f t="shared" si="3"/>
        <v>1250</v>
      </c>
      <c r="L122" s="8" t="s">
        <v>289</v>
      </c>
    </row>
    <row r="123" spans="1:12" x14ac:dyDescent="0.2">
      <c r="A123" s="8">
        <v>120</v>
      </c>
      <c r="B123" s="9" t="s">
        <v>285</v>
      </c>
      <c r="C123" s="9" t="s">
        <v>170</v>
      </c>
      <c r="D123" s="9" t="s">
        <v>300</v>
      </c>
      <c r="E123" s="9" t="s">
        <v>287</v>
      </c>
      <c r="F123" s="9" t="s">
        <v>38</v>
      </c>
      <c r="G123" s="9" t="s">
        <v>301</v>
      </c>
      <c r="H123" s="10">
        <v>3</v>
      </c>
      <c r="I123" s="8" t="s">
        <v>19</v>
      </c>
      <c r="J123" s="6">
        <v>400</v>
      </c>
      <c r="K123" s="7">
        <f t="shared" si="3"/>
        <v>1200</v>
      </c>
      <c r="L123" s="8" t="s">
        <v>289</v>
      </c>
    </row>
    <row r="124" spans="1:12" x14ac:dyDescent="0.2">
      <c r="A124" s="8">
        <v>121</v>
      </c>
      <c r="B124" s="11" t="s">
        <v>285</v>
      </c>
      <c r="C124" s="11" t="s">
        <v>170</v>
      </c>
      <c r="D124" s="11" t="s">
        <v>302</v>
      </c>
      <c r="E124" s="11" t="s">
        <v>287</v>
      </c>
      <c r="F124" s="11" t="s">
        <v>303</v>
      </c>
      <c r="G124" s="11" t="s">
        <v>304</v>
      </c>
      <c r="H124" s="10">
        <v>1</v>
      </c>
      <c r="I124" s="8" t="s">
        <v>19</v>
      </c>
      <c r="J124" s="6">
        <v>4800</v>
      </c>
      <c r="K124" s="7">
        <f t="shared" si="3"/>
        <v>4800</v>
      </c>
      <c r="L124" s="8" t="s">
        <v>289</v>
      </c>
    </row>
    <row r="125" spans="1:12" x14ac:dyDescent="0.2">
      <c r="A125" s="8">
        <v>122</v>
      </c>
      <c r="B125" s="9" t="s">
        <v>285</v>
      </c>
      <c r="C125" s="9" t="s">
        <v>170</v>
      </c>
      <c r="D125" s="9" t="s">
        <v>305</v>
      </c>
      <c r="E125" s="9" t="s">
        <v>287</v>
      </c>
      <c r="F125" s="9" t="s">
        <v>122</v>
      </c>
      <c r="G125" s="9" t="s">
        <v>306</v>
      </c>
      <c r="H125" s="10">
        <v>1</v>
      </c>
      <c r="I125" s="8" t="s">
        <v>19</v>
      </c>
      <c r="J125" s="6">
        <v>350</v>
      </c>
      <c r="K125" s="7">
        <f t="shared" si="3"/>
        <v>350</v>
      </c>
      <c r="L125" s="8" t="s">
        <v>289</v>
      </c>
    </row>
    <row r="126" spans="1:12" x14ac:dyDescent="0.2">
      <c r="A126" s="8">
        <v>123</v>
      </c>
      <c r="B126" s="11" t="s">
        <v>285</v>
      </c>
      <c r="C126" s="11" t="s">
        <v>170</v>
      </c>
      <c r="D126" s="11" t="s">
        <v>307</v>
      </c>
      <c r="E126" s="11" t="s">
        <v>287</v>
      </c>
      <c r="F126" s="11" t="s">
        <v>308</v>
      </c>
      <c r="G126" s="11" t="s">
        <v>309</v>
      </c>
      <c r="H126" s="10">
        <v>2</v>
      </c>
      <c r="I126" s="8" t="s">
        <v>60</v>
      </c>
      <c r="J126" s="6">
        <v>14500</v>
      </c>
      <c r="K126" s="7">
        <f t="shared" si="3"/>
        <v>29000</v>
      </c>
      <c r="L126" s="8" t="s">
        <v>310</v>
      </c>
    </row>
    <row r="127" spans="1:12" x14ac:dyDescent="0.2">
      <c r="A127" s="8">
        <v>124</v>
      </c>
      <c r="B127" s="9" t="s">
        <v>285</v>
      </c>
      <c r="C127" s="9" t="s">
        <v>170</v>
      </c>
      <c r="D127" s="9" t="s">
        <v>311</v>
      </c>
      <c r="E127" s="9" t="s">
        <v>287</v>
      </c>
      <c r="F127" s="9" t="s">
        <v>175</v>
      </c>
      <c r="G127" s="9" t="s">
        <v>312</v>
      </c>
      <c r="H127" s="10">
        <v>255</v>
      </c>
      <c r="I127" s="8" t="s">
        <v>292</v>
      </c>
      <c r="J127" s="6">
        <v>280</v>
      </c>
      <c r="K127" s="7">
        <f t="shared" si="3"/>
        <v>71400</v>
      </c>
      <c r="L127" s="8" t="s">
        <v>310</v>
      </c>
    </row>
    <row r="128" spans="1:12" x14ac:dyDescent="0.2">
      <c r="A128" s="8">
        <v>125</v>
      </c>
      <c r="B128" s="11" t="s">
        <v>285</v>
      </c>
      <c r="C128" s="11" t="s">
        <v>170</v>
      </c>
      <c r="D128" s="11" t="s">
        <v>313</v>
      </c>
      <c r="E128" s="11" t="s">
        <v>287</v>
      </c>
      <c r="F128" s="11" t="s">
        <v>314</v>
      </c>
      <c r="G128" s="11" t="s">
        <v>315</v>
      </c>
      <c r="H128" s="10">
        <v>1</v>
      </c>
      <c r="I128" s="8" t="s">
        <v>60</v>
      </c>
      <c r="J128" s="6">
        <v>3500</v>
      </c>
      <c r="K128" s="7">
        <f t="shared" si="3"/>
        <v>3500</v>
      </c>
      <c r="L128" s="8" t="s">
        <v>310</v>
      </c>
    </row>
    <row r="129" spans="1:12" x14ac:dyDescent="0.2">
      <c r="A129" s="8">
        <v>126</v>
      </c>
      <c r="B129" s="9" t="s">
        <v>316</v>
      </c>
      <c r="C129" s="9" t="s">
        <v>317</v>
      </c>
      <c r="D129" s="9" t="s">
        <v>318</v>
      </c>
      <c r="E129" s="9" t="s">
        <v>51</v>
      </c>
      <c r="F129" s="9" t="s">
        <v>319</v>
      </c>
      <c r="G129" s="9" t="s">
        <v>320</v>
      </c>
      <c r="H129" s="10">
        <v>1</v>
      </c>
      <c r="I129" s="8" t="s">
        <v>15</v>
      </c>
      <c r="J129" s="6">
        <v>155800</v>
      </c>
      <c r="K129" s="7">
        <f t="shared" si="3"/>
        <v>155800</v>
      </c>
      <c r="L129" s="8" t="s">
        <v>321</v>
      </c>
    </row>
    <row r="130" spans="1:12" x14ac:dyDescent="0.2">
      <c r="A130" s="8">
        <v>127</v>
      </c>
      <c r="B130" s="11" t="s">
        <v>316</v>
      </c>
      <c r="C130" s="11" t="s">
        <v>317</v>
      </c>
      <c r="D130" s="11" t="s">
        <v>322</v>
      </c>
      <c r="E130" s="11" t="s">
        <v>37</v>
      </c>
      <c r="F130" s="11" t="s">
        <v>323</v>
      </c>
      <c r="G130" s="11" t="s">
        <v>324</v>
      </c>
      <c r="H130" s="10">
        <v>24</v>
      </c>
      <c r="I130" s="8" t="s">
        <v>19</v>
      </c>
      <c r="J130" s="6">
        <v>1850</v>
      </c>
      <c r="K130" s="7">
        <f t="shared" si="3"/>
        <v>44400</v>
      </c>
      <c r="L130" s="8" t="s">
        <v>321</v>
      </c>
    </row>
    <row r="131" spans="1:12" x14ac:dyDescent="0.2">
      <c r="A131" s="8">
        <v>128</v>
      </c>
      <c r="B131" s="9" t="s">
        <v>316</v>
      </c>
      <c r="C131" s="9" t="s">
        <v>317</v>
      </c>
      <c r="D131" s="9" t="s">
        <v>325</v>
      </c>
      <c r="E131" s="9" t="s">
        <v>37</v>
      </c>
      <c r="F131" s="9" t="s">
        <v>326</v>
      </c>
      <c r="G131" s="9" t="s">
        <v>327</v>
      </c>
      <c r="H131" s="10">
        <v>2</v>
      </c>
      <c r="I131" s="8" t="s">
        <v>19</v>
      </c>
      <c r="J131" s="6">
        <v>2800</v>
      </c>
      <c r="K131" s="7">
        <f t="shared" si="3"/>
        <v>5600</v>
      </c>
      <c r="L131" s="8" t="s">
        <v>321</v>
      </c>
    </row>
    <row r="132" spans="1:12" x14ac:dyDescent="0.2">
      <c r="A132" s="8">
        <v>129</v>
      </c>
      <c r="B132" s="11" t="s">
        <v>316</v>
      </c>
      <c r="C132" s="11" t="s">
        <v>317</v>
      </c>
      <c r="D132" s="11" t="s">
        <v>328</v>
      </c>
      <c r="E132" s="11" t="s">
        <v>37</v>
      </c>
      <c r="F132" s="11" t="s">
        <v>329</v>
      </c>
      <c r="G132" s="11" t="s">
        <v>330</v>
      </c>
      <c r="H132" s="10">
        <v>2</v>
      </c>
      <c r="I132" s="8" t="s">
        <v>19</v>
      </c>
      <c r="J132" s="6">
        <v>1200</v>
      </c>
      <c r="K132" s="7">
        <f t="shared" ref="K132:K163" si="4">H132*J132</f>
        <v>2400</v>
      </c>
      <c r="L132" s="8" t="s">
        <v>321</v>
      </c>
    </row>
    <row r="133" spans="1:12" x14ac:dyDescent="0.2">
      <c r="A133" s="8">
        <v>130</v>
      </c>
      <c r="B133" s="9" t="s">
        <v>316</v>
      </c>
      <c r="C133" s="9" t="s">
        <v>317</v>
      </c>
      <c r="D133" s="9" t="s">
        <v>331</v>
      </c>
      <c r="E133" s="9" t="s">
        <v>37</v>
      </c>
      <c r="F133" s="9" t="s">
        <v>323</v>
      </c>
      <c r="G133" s="9" t="s">
        <v>213</v>
      </c>
      <c r="H133" s="10">
        <v>1</v>
      </c>
      <c r="I133" s="8" t="s">
        <v>19</v>
      </c>
      <c r="J133" s="6">
        <v>2500</v>
      </c>
      <c r="K133" s="7">
        <f t="shared" si="4"/>
        <v>2500</v>
      </c>
      <c r="L133" s="8" t="s">
        <v>321</v>
      </c>
    </row>
    <row r="134" spans="1:12" x14ac:dyDescent="0.2">
      <c r="A134" s="8">
        <v>131</v>
      </c>
      <c r="B134" s="11" t="s">
        <v>316</v>
      </c>
      <c r="C134" s="11" t="s">
        <v>317</v>
      </c>
      <c r="D134" s="11" t="s">
        <v>332</v>
      </c>
      <c r="E134" s="11" t="s">
        <v>37</v>
      </c>
      <c r="F134" s="11" t="s">
        <v>333</v>
      </c>
      <c r="G134" s="11" t="s">
        <v>334</v>
      </c>
      <c r="H134" s="10">
        <v>12</v>
      </c>
      <c r="I134" s="8" t="s">
        <v>19</v>
      </c>
      <c r="J134" s="6">
        <v>3850</v>
      </c>
      <c r="K134" s="7">
        <f t="shared" si="4"/>
        <v>46200</v>
      </c>
      <c r="L134" s="8" t="s">
        <v>321</v>
      </c>
    </row>
    <row r="135" spans="1:12" x14ac:dyDescent="0.2">
      <c r="A135" s="8">
        <v>132</v>
      </c>
      <c r="B135" s="9" t="s">
        <v>316</v>
      </c>
      <c r="C135" s="9" t="s">
        <v>317</v>
      </c>
      <c r="D135" s="9" t="s">
        <v>335</v>
      </c>
      <c r="E135" s="9" t="s">
        <v>41</v>
      </c>
      <c r="F135" s="9" t="s">
        <v>336</v>
      </c>
      <c r="G135" s="9" t="s">
        <v>337</v>
      </c>
      <c r="H135" s="10">
        <v>2</v>
      </c>
      <c r="I135" s="8" t="s">
        <v>15</v>
      </c>
      <c r="J135" s="6">
        <v>28850</v>
      </c>
      <c r="K135" s="7">
        <f t="shared" si="4"/>
        <v>57700</v>
      </c>
      <c r="L135" s="8" t="s">
        <v>321</v>
      </c>
    </row>
    <row r="136" spans="1:12" x14ac:dyDescent="0.2">
      <c r="A136" s="8">
        <v>133</v>
      </c>
      <c r="B136" s="11" t="s">
        <v>316</v>
      </c>
      <c r="C136" s="11" t="s">
        <v>317</v>
      </c>
      <c r="D136" s="11" t="s">
        <v>338</v>
      </c>
      <c r="E136" s="11" t="s">
        <v>41</v>
      </c>
      <c r="F136" s="11" t="s">
        <v>336</v>
      </c>
      <c r="G136" s="11" t="s">
        <v>339</v>
      </c>
      <c r="H136" s="10">
        <v>1</v>
      </c>
      <c r="I136" s="8" t="s">
        <v>19</v>
      </c>
      <c r="J136" s="6">
        <v>58500</v>
      </c>
      <c r="K136" s="7">
        <f t="shared" si="4"/>
        <v>58500</v>
      </c>
      <c r="L136" s="8" t="s">
        <v>321</v>
      </c>
    </row>
    <row r="137" spans="1:12" x14ac:dyDescent="0.2">
      <c r="A137" s="8">
        <v>134</v>
      </c>
      <c r="B137" s="9" t="s">
        <v>316</v>
      </c>
      <c r="C137" s="9" t="s">
        <v>317</v>
      </c>
      <c r="D137" s="9" t="s">
        <v>340</v>
      </c>
      <c r="E137" s="9" t="s">
        <v>101</v>
      </c>
      <c r="F137" s="9" t="s">
        <v>84</v>
      </c>
      <c r="G137" s="9" t="s">
        <v>341</v>
      </c>
      <c r="H137" s="10">
        <v>193</v>
      </c>
      <c r="I137" s="8" t="s">
        <v>19</v>
      </c>
      <c r="J137" s="6">
        <v>55</v>
      </c>
      <c r="K137" s="7">
        <f t="shared" si="4"/>
        <v>10615</v>
      </c>
      <c r="L137" s="8" t="s">
        <v>321</v>
      </c>
    </row>
    <row r="138" spans="1:12" x14ac:dyDescent="0.2">
      <c r="A138" s="8">
        <v>135</v>
      </c>
      <c r="B138" s="11" t="s">
        <v>316</v>
      </c>
      <c r="C138" s="11" t="s">
        <v>317</v>
      </c>
      <c r="D138" s="11" t="s">
        <v>342</v>
      </c>
      <c r="E138" s="11" t="s">
        <v>101</v>
      </c>
      <c r="F138" s="11" t="s">
        <v>84</v>
      </c>
      <c r="G138" s="11" t="s">
        <v>343</v>
      </c>
      <c r="H138" s="10">
        <v>24</v>
      </c>
      <c r="I138" s="8" t="s">
        <v>19</v>
      </c>
      <c r="J138" s="6">
        <v>55</v>
      </c>
      <c r="K138" s="7">
        <f t="shared" si="4"/>
        <v>1320</v>
      </c>
      <c r="L138" s="8" t="s">
        <v>321</v>
      </c>
    </row>
    <row r="139" spans="1:12" x14ac:dyDescent="0.2">
      <c r="A139" s="8">
        <v>136</v>
      </c>
      <c r="B139" s="9" t="s">
        <v>316</v>
      </c>
      <c r="C139" s="9" t="s">
        <v>317</v>
      </c>
      <c r="D139" s="9" t="s">
        <v>344</v>
      </c>
      <c r="E139" s="9" t="s">
        <v>101</v>
      </c>
      <c r="F139" s="9" t="s">
        <v>84</v>
      </c>
      <c r="G139" s="9" t="s">
        <v>345</v>
      </c>
      <c r="H139" s="10">
        <v>160</v>
      </c>
      <c r="I139" s="8" t="s">
        <v>19</v>
      </c>
      <c r="J139" s="6">
        <v>25</v>
      </c>
      <c r="K139" s="7">
        <f t="shared" si="4"/>
        <v>4000</v>
      </c>
      <c r="L139" s="8" t="s">
        <v>321</v>
      </c>
    </row>
    <row r="140" spans="1:12" x14ac:dyDescent="0.2">
      <c r="A140" s="8">
        <v>137</v>
      </c>
      <c r="B140" s="11" t="s">
        <v>316</v>
      </c>
      <c r="C140" s="11" t="s">
        <v>317</v>
      </c>
      <c r="D140" s="11" t="s">
        <v>346</v>
      </c>
      <c r="E140" s="11" t="s">
        <v>37</v>
      </c>
      <c r="F140" s="11" t="s">
        <v>326</v>
      </c>
      <c r="G140" s="11" t="s">
        <v>347</v>
      </c>
      <c r="H140" s="10">
        <v>10</v>
      </c>
      <c r="I140" s="8" t="s">
        <v>19</v>
      </c>
      <c r="J140" s="6">
        <v>5500</v>
      </c>
      <c r="K140" s="7">
        <f t="shared" si="4"/>
        <v>55000</v>
      </c>
      <c r="L140" s="8" t="s">
        <v>321</v>
      </c>
    </row>
    <row r="141" spans="1:12" x14ac:dyDescent="0.2">
      <c r="A141" s="8">
        <v>138</v>
      </c>
      <c r="B141" s="9" t="s">
        <v>316</v>
      </c>
      <c r="C141" s="9" t="s">
        <v>317</v>
      </c>
      <c r="D141" s="9" t="s">
        <v>348</v>
      </c>
      <c r="E141" s="9" t="s">
        <v>37</v>
      </c>
      <c r="F141" s="9" t="s">
        <v>326</v>
      </c>
      <c r="G141" s="9" t="s">
        <v>349</v>
      </c>
      <c r="H141" s="10">
        <v>2</v>
      </c>
      <c r="I141" s="8" t="s">
        <v>19</v>
      </c>
      <c r="J141" s="6">
        <v>4500</v>
      </c>
      <c r="K141" s="7">
        <f t="shared" si="4"/>
        <v>9000</v>
      </c>
      <c r="L141" s="8" t="s">
        <v>321</v>
      </c>
    </row>
    <row r="142" spans="1:12" x14ac:dyDescent="0.2">
      <c r="A142" s="8">
        <v>139</v>
      </c>
      <c r="B142" s="11" t="s">
        <v>350</v>
      </c>
      <c r="C142" s="11" t="s">
        <v>351</v>
      </c>
      <c r="D142" s="11" t="s">
        <v>352</v>
      </c>
      <c r="E142" s="11" t="s">
        <v>5</v>
      </c>
      <c r="F142" s="11" t="s">
        <v>130</v>
      </c>
      <c r="G142" s="11" t="s">
        <v>353</v>
      </c>
      <c r="H142" s="10">
        <v>2182</v>
      </c>
      <c r="I142" s="8" t="s">
        <v>19</v>
      </c>
      <c r="J142" s="6">
        <v>120</v>
      </c>
      <c r="K142" s="7">
        <f t="shared" si="4"/>
        <v>261840</v>
      </c>
      <c r="L142" s="8" t="s">
        <v>354</v>
      </c>
    </row>
    <row r="143" spans="1:12" x14ac:dyDescent="0.2">
      <c r="A143" s="8">
        <v>140</v>
      </c>
      <c r="B143" s="9" t="s">
        <v>350</v>
      </c>
      <c r="C143" s="9" t="s">
        <v>351</v>
      </c>
      <c r="D143" s="9" t="s">
        <v>355</v>
      </c>
      <c r="E143" s="9" t="s">
        <v>5</v>
      </c>
      <c r="F143" s="9" t="s">
        <v>130</v>
      </c>
      <c r="G143" s="9" t="s">
        <v>133</v>
      </c>
      <c r="H143" s="10">
        <v>89</v>
      </c>
      <c r="I143" s="8" t="s">
        <v>19</v>
      </c>
      <c r="J143" s="6">
        <v>110</v>
      </c>
      <c r="K143" s="7">
        <f t="shared" si="4"/>
        <v>9790</v>
      </c>
      <c r="L143" s="8" t="s">
        <v>354</v>
      </c>
    </row>
    <row r="144" spans="1:12" x14ac:dyDescent="0.2">
      <c r="A144" s="8">
        <v>141</v>
      </c>
      <c r="B144" s="11" t="s">
        <v>350</v>
      </c>
      <c r="C144" s="11" t="s">
        <v>351</v>
      </c>
      <c r="D144" s="11" t="s">
        <v>356</v>
      </c>
      <c r="E144" s="11" t="s">
        <v>5</v>
      </c>
      <c r="F144" s="11" t="s">
        <v>130</v>
      </c>
      <c r="G144" s="11" t="s">
        <v>357</v>
      </c>
      <c r="H144" s="10">
        <v>140</v>
      </c>
      <c r="I144" s="8" t="s">
        <v>19</v>
      </c>
      <c r="J144" s="6">
        <v>170</v>
      </c>
      <c r="K144" s="7">
        <f t="shared" si="4"/>
        <v>23800</v>
      </c>
      <c r="L144" s="8" t="s">
        <v>354</v>
      </c>
    </row>
    <row r="145" spans="1:12" x14ac:dyDescent="0.2">
      <c r="A145" s="8">
        <v>142</v>
      </c>
      <c r="B145" s="9" t="s">
        <v>350</v>
      </c>
      <c r="C145" s="9" t="s">
        <v>351</v>
      </c>
      <c r="D145" s="9" t="s">
        <v>358</v>
      </c>
      <c r="E145" s="9" t="s">
        <v>5</v>
      </c>
      <c r="F145" s="9" t="s">
        <v>130</v>
      </c>
      <c r="G145" s="9" t="s">
        <v>359</v>
      </c>
      <c r="H145" s="10">
        <v>60</v>
      </c>
      <c r="I145" s="8" t="s">
        <v>19</v>
      </c>
      <c r="J145" s="6">
        <v>160</v>
      </c>
      <c r="K145" s="7">
        <f t="shared" si="4"/>
        <v>9600</v>
      </c>
      <c r="L145" s="8" t="s">
        <v>354</v>
      </c>
    </row>
    <row r="146" spans="1:12" x14ac:dyDescent="0.2">
      <c r="A146" s="8">
        <v>143</v>
      </c>
      <c r="B146" s="11" t="s">
        <v>350</v>
      </c>
      <c r="C146" s="11" t="s">
        <v>351</v>
      </c>
      <c r="D146" s="11" t="s">
        <v>360</v>
      </c>
      <c r="E146" s="11" t="s">
        <v>5</v>
      </c>
      <c r="F146" s="11" t="s">
        <v>130</v>
      </c>
      <c r="G146" s="11" t="s">
        <v>361</v>
      </c>
      <c r="H146" s="10">
        <v>53</v>
      </c>
      <c r="I146" s="8" t="s">
        <v>19</v>
      </c>
      <c r="J146" s="6">
        <v>180</v>
      </c>
      <c r="K146" s="7">
        <f t="shared" si="4"/>
        <v>9540</v>
      </c>
      <c r="L146" s="8" t="s">
        <v>354</v>
      </c>
    </row>
    <row r="147" spans="1:12" x14ac:dyDescent="0.2">
      <c r="A147" s="8">
        <v>144</v>
      </c>
      <c r="B147" s="9" t="s">
        <v>350</v>
      </c>
      <c r="C147" s="9" t="s">
        <v>351</v>
      </c>
      <c r="D147" s="9" t="s">
        <v>153</v>
      </c>
      <c r="E147" s="9" t="s">
        <v>5</v>
      </c>
      <c r="F147" s="9" t="s">
        <v>130</v>
      </c>
      <c r="G147" s="9" t="s">
        <v>154</v>
      </c>
      <c r="H147" s="10">
        <v>128</v>
      </c>
      <c r="I147" s="8" t="s">
        <v>19</v>
      </c>
      <c r="J147" s="6">
        <v>79</v>
      </c>
      <c r="K147" s="7">
        <f t="shared" si="4"/>
        <v>10112</v>
      </c>
      <c r="L147" s="8" t="s">
        <v>354</v>
      </c>
    </row>
    <row r="148" spans="1:12" x14ac:dyDescent="0.2">
      <c r="A148" s="8">
        <v>145</v>
      </c>
      <c r="B148" s="11" t="s">
        <v>350</v>
      </c>
      <c r="C148" s="11" t="s">
        <v>351</v>
      </c>
      <c r="D148" s="11" t="s">
        <v>362</v>
      </c>
      <c r="E148" s="11" t="s">
        <v>5</v>
      </c>
      <c r="F148" s="11" t="s">
        <v>130</v>
      </c>
      <c r="G148" s="11" t="s">
        <v>363</v>
      </c>
      <c r="H148" s="10">
        <v>250</v>
      </c>
      <c r="I148" s="8" t="s">
        <v>19</v>
      </c>
      <c r="J148" s="6">
        <v>212.77</v>
      </c>
      <c r="K148" s="7">
        <f t="shared" si="4"/>
        <v>53192.5</v>
      </c>
      <c r="L148" s="8" t="s">
        <v>354</v>
      </c>
    </row>
    <row r="149" spans="1:12" x14ac:dyDescent="0.2">
      <c r="A149" s="8">
        <v>146</v>
      </c>
      <c r="B149" s="9" t="s">
        <v>350</v>
      </c>
      <c r="C149" s="9" t="s">
        <v>351</v>
      </c>
      <c r="D149" s="9" t="s">
        <v>364</v>
      </c>
      <c r="E149" s="9" t="s">
        <v>5</v>
      </c>
      <c r="F149" s="9" t="s">
        <v>130</v>
      </c>
      <c r="G149" s="9" t="s">
        <v>365</v>
      </c>
      <c r="H149" s="10">
        <v>109</v>
      </c>
      <c r="I149" s="8" t="s">
        <v>19</v>
      </c>
      <c r="J149" s="6">
        <v>250</v>
      </c>
      <c r="K149" s="7">
        <f t="shared" si="4"/>
        <v>27250</v>
      </c>
      <c r="L149" s="8" t="s">
        <v>354</v>
      </c>
    </row>
    <row r="150" spans="1:12" x14ac:dyDescent="0.2">
      <c r="A150" s="8">
        <v>147</v>
      </c>
      <c r="B150" s="11" t="s">
        <v>350</v>
      </c>
      <c r="C150" s="11" t="s">
        <v>351</v>
      </c>
      <c r="D150" s="11" t="s">
        <v>366</v>
      </c>
      <c r="E150" s="11" t="s">
        <v>5</v>
      </c>
      <c r="F150" s="11" t="s">
        <v>130</v>
      </c>
      <c r="G150" s="11" t="s">
        <v>367</v>
      </c>
      <c r="H150" s="10">
        <v>12</v>
      </c>
      <c r="I150" s="8" t="s">
        <v>19</v>
      </c>
      <c r="J150" s="6">
        <v>1950</v>
      </c>
      <c r="K150" s="7">
        <f t="shared" si="4"/>
        <v>23400</v>
      </c>
      <c r="L150" s="8" t="s">
        <v>354</v>
      </c>
    </row>
    <row r="151" spans="1:12" x14ac:dyDescent="0.2">
      <c r="A151" s="8">
        <v>148</v>
      </c>
      <c r="B151" s="9" t="s">
        <v>350</v>
      </c>
      <c r="C151" s="9" t="s">
        <v>351</v>
      </c>
      <c r="D151" s="9" t="s">
        <v>368</v>
      </c>
      <c r="E151" s="9" t="s">
        <v>5</v>
      </c>
      <c r="F151" s="9" t="s">
        <v>130</v>
      </c>
      <c r="G151" s="9" t="s">
        <v>369</v>
      </c>
      <c r="H151" s="10">
        <v>11</v>
      </c>
      <c r="I151" s="8" t="s">
        <v>19</v>
      </c>
      <c r="J151" s="6">
        <v>420</v>
      </c>
      <c r="K151" s="7">
        <f t="shared" si="4"/>
        <v>4620</v>
      </c>
      <c r="L151" s="8" t="s">
        <v>354</v>
      </c>
    </row>
    <row r="152" spans="1:12" x14ac:dyDescent="0.2">
      <c r="A152" s="8">
        <v>149</v>
      </c>
      <c r="B152" s="11" t="s">
        <v>350</v>
      </c>
      <c r="C152" s="11" t="s">
        <v>351</v>
      </c>
      <c r="D152" s="11" t="s">
        <v>370</v>
      </c>
      <c r="E152" s="11" t="s">
        <v>5</v>
      </c>
      <c r="F152" s="11" t="s">
        <v>130</v>
      </c>
      <c r="G152" s="11" t="s">
        <v>371</v>
      </c>
      <c r="H152" s="10">
        <v>1</v>
      </c>
      <c r="I152" s="8" t="s">
        <v>19</v>
      </c>
      <c r="J152" s="6">
        <v>1650</v>
      </c>
      <c r="K152" s="7">
        <f t="shared" si="4"/>
        <v>1650</v>
      </c>
      <c r="L152" s="8" t="s">
        <v>354</v>
      </c>
    </row>
    <row r="153" spans="1:12" x14ac:dyDescent="0.2">
      <c r="A153" s="8">
        <v>150</v>
      </c>
      <c r="B153" s="9" t="s">
        <v>372</v>
      </c>
      <c r="C153" s="9" t="s">
        <v>170</v>
      </c>
      <c r="D153" s="9" t="s">
        <v>373</v>
      </c>
      <c r="E153" s="9" t="s">
        <v>57</v>
      </c>
      <c r="F153" s="9" t="s">
        <v>13</v>
      </c>
      <c r="G153" s="9" t="s">
        <v>374</v>
      </c>
      <c r="H153" s="10">
        <v>2</v>
      </c>
      <c r="I153" s="8" t="s">
        <v>15</v>
      </c>
      <c r="J153" s="6">
        <v>32500</v>
      </c>
      <c r="K153" s="7">
        <f t="shared" si="4"/>
        <v>65000</v>
      </c>
      <c r="L153" s="8" t="s">
        <v>375</v>
      </c>
    </row>
    <row r="154" spans="1:12" x14ac:dyDescent="0.2">
      <c r="A154" s="8">
        <v>151</v>
      </c>
      <c r="B154" s="11" t="s">
        <v>372</v>
      </c>
      <c r="C154" s="11" t="s">
        <v>170</v>
      </c>
      <c r="D154" s="11" t="s">
        <v>376</v>
      </c>
      <c r="E154" s="11" t="s">
        <v>29</v>
      </c>
      <c r="F154" s="11" t="s">
        <v>122</v>
      </c>
      <c r="G154" s="11" t="s">
        <v>377</v>
      </c>
      <c r="H154" s="10">
        <v>8</v>
      </c>
      <c r="I154" s="8" t="s">
        <v>378</v>
      </c>
      <c r="J154" s="6">
        <v>6800</v>
      </c>
      <c r="K154" s="7">
        <f t="shared" si="4"/>
        <v>54400</v>
      </c>
      <c r="L154" s="8" t="s">
        <v>375</v>
      </c>
    </row>
    <row r="155" spans="1:12" x14ac:dyDescent="0.2">
      <c r="A155" s="8">
        <v>152</v>
      </c>
      <c r="B155" s="9" t="s">
        <v>372</v>
      </c>
      <c r="C155" s="9" t="s">
        <v>170</v>
      </c>
      <c r="D155" s="9" t="s">
        <v>379</v>
      </c>
      <c r="E155" s="9" t="s">
        <v>29</v>
      </c>
      <c r="F155" s="9" t="s">
        <v>380</v>
      </c>
      <c r="G155" s="9" t="s">
        <v>381</v>
      </c>
      <c r="H155" s="10">
        <v>200</v>
      </c>
      <c r="I155" s="8" t="s">
        <v>382</v>
      </c>
      <c r="J155" s="6">
        <v>120</v>
      </c>
      <c r="K155" s="7">
        <f t="shared" si="4"/>
        <v>24000</v>
      </c>
      <c r="L155" s="8" t="s">
        <v>375</v>
      </c>
    </row>
    <row r="156" spans="1:12" x14ac:dyDescent="0.2">
      <c r="A156" s="8">
        <v>153</v>
      </c>
      <c r="B156" s="11" t="s">
        <v>372</v>
      </c>
      <c r="C156" s="11" t="s">
        <v>170</v>
      </c>
      <c r="D156" s="11" t="s">
        <v>383</v>
      </c>
      <c r="E156" s="11" t="s">
        <v>29</v>
      </c>
      <c r="F156" s="11" t="s">
        <v>38</v>
      </c>
      <c r="G156" s="11" t="s">
        <v>384</v>
      </c>
      <c r="H156" s="10">
        <v>5</v>
      </c>
      <c r="I156" s="8" t="s">
        <v>15</v>
      </c>
      <c r="J156" s="6">
        <v>3000</v>
      </c>
      <c r="K156" s="7">
        <f t="shared" si="4"/>
        <v>15000</v>
      </c>
      <c r="L156" s="8" t="s">
        <v>375</v>
      </c>
    </row>
    <row r="157" spans="1:12" x14ac:dyDescent="0.2">
      <c r="A157" s="8">
        <v>154</v>
      </c>
      <c r="B157" s="9" t="s">
        <v>372</v>
      </c>
      <c r="C157" s="9" t="s">
        <v>170</v>
      </c>
      <c r="D157" s="9" t="s">
        <v>385</v>
      </c>
      <c r="E157" s="9" t="s">
        <v>29</v>
      </c>
      <c r="F157" s="9" t="s">
        <v>13</v>
      </c>
      <c r="G157" s="9" t="s">
        <v>386</v>
      </c>
      <c r="H157" s="10">
        <v>46</v>
      </c>
      <c r="I157" s="8" t="s">
        <v>60</v>
      </c>
      <c r="J157" s="6">
        <v>250</v>
      </c>
      <c r="K157" s="7">
        <f t="shared" si="4"/>
        <v>11500</v>
      </c>
      <c r="L157" s="8" t="s">
        <v>375</v>
      </c>
    </row>
    <row r="158" spans="1:12" x14ac:dyDescent="0.2">
      <c r="A158" s="8">
        <v>155</v>
      </c>
      <c r="B158" s="11" t="s">
        <v>372</v>
      </c>
      <c r="C158" s="11" t="s">
        <v>170</v>
      </c>
      <c r="D158" s="11" t="s">
        <v>387</v>
      </c>
      <c r="E158" s="11" t="s">
        <v>29</v>
      </c>
      <c r="F158" s="11" t="s">
        <v>13</v>
      </c>
      <c r="G158" s="11" t="s">
        <v>388</v>
      </c>
      <c r="H158" s="10">
        <v>59</v>
      </c>
      <c r="I158" s="8" t="s">
        <v>60</v>
      </c>
      <c r="J158" s="6">
        <v>250</v>
      </c>
      <c r="K158" s="7">
        <f t="shared" si="4"/>
        <v>14750</v>
      </c>
      <c r="L158" s="8" t="s">
        <v>375</v>
      </c>
    </row>
    <row r="159" spans="1:12" x14ac:dyDescent="0.2">
      <c r="A159" s="8">
        <v>156</v>
      </c>
      <c r="B159" s="9" t="s">
        <v>372</v>
      </c>
      <c r="C159" s="9" t="s">
        <v>170</v>
      </c>
      <c r="D159" s="9" t="s">
        <v>389</v>
      </c>
      <c r="E159" s="9" t="s">
        <v>5</v>
      </c>
      <c r="F159" s="9" t="s">
        <v>390</v>
      </c>
      <c r="G159" s="9" t="s">
        <v>176</v>
      </c>
      <c r="H159" s="10">
        <v>85</v>
      </c>
      <c r="I159" s="8" t="s">
        <v>60</v>
      </c>
      <c r="J159" s="6">
        <v>500</v>
      </c>
      <c r="K159" s="7">
        <f t="shared" si="4"/>
        <v>42500</v>
      </c>
      <c r="L159" s="8" t="s">
        <v>375</v>
      </c>
    </row>
    <row r="160" spans="1:12" x14ac:dyDescent="0.2">
      <c r="A160" s="8">
        <v>157</v>
      </c>
      <c r="B160" s="11" t="s">
        <v>372</v>
      </c>
      <c r="C160" s="11" t="s">
        <v>170</v>
      </c>
      <c r="D160" s="11" t="s">
        <v>391</v>
      </c>
      <c r="E160" s="11" t="s">
        <v>5</v>
      </c>
      <c r="F160" s="11" t="s">
        <v>390</v>
      </c>
      <c r="G160" s="11" t="s">
        <v>178</v>
      </c>
      <c r="H160" s="10">
        <v>117</v>
      </c>
      <c r="I160" s="8" t="s">
        <v>60</v>
      </c>
      <c r="J160" s="6">
        <v>500</v>
      </c>
      <c r="K160" s="7">
        <f t="shared" si="4"/>
        <v>58500</v>
      </c>
      <c r="L160" s="8" t="s">
        <v>375</v>
      </c>
    </row>
    <row r="161" spans="1:12" x14ac:dyDescent="0.2">
      <c r="A161" s="8">
        <v>158</v>
      </c>
      <c r="B161" s="9" t="s">
        <v>372</v>
      </c>
      <c r="C161" s="9" t="s">
        <v>170</v>
      </c>
      <c r="D161" s="9" t="s">
        <v>392</v>
      </c>
      <c r="E161" s="9" t="s">
        <v>5</v>
      </c>
      <c r="F161" s="9" t="s">
        <v>393</v>
      </c>
      <c r="G161" s="9" t="s">
        <v>394</v>
      </c>
      <c r="H161" s="10">
        <v>10</v>
      </c>
      <c r="I161" s="8" t="s">
        <v>60</v>
      </c>
      <c r="J161" s="6">
        <v>5700</v>
      </c>
      <c r="K161" s="7">
        <f t="shared" si="4"/>
        <v>57000</v>
      </c>
      <c r="L161" s="8" t="s">
        <v>375</v>
      </c>
    </row>
    <row r="162" spans="1:12" ht="15" x14ac:dyDescent="0.2">
      <c r="A162" s="12"/>
      <c r="B162" s="13" t="s">
        <v>395</v>
      </c>
      <c r="C162" s="12"/>
      <c r="D162" s="12"/>
      <c r="E162" s="12"/>
      <c r="F162" s="12"/>
      <c r="G162" s="12"/>
      <c r="H162" s="12"/>
      <c r="I162" s="12"/>
      <c r="J162" s="12"/>
      <c r="K162" s="14">
        <f>SUM(K4:K161)</f>
        <v>15905704.5</v>
      </c>
      <c r="L162" s="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abSelected="1" workbookViewId="0"/>
  </sheetViews>
  <sheetFormatPr defaultRowHeight="14.25" x14ac:dyDescent="0.2"/>
  <cols>
    <col min="1" max="1" width="6" customWidth="1"/>
    <col min="2" max="2" width="35" customWidth="1"/>
    <col min="3" max="3" width="45" customWidth="1"/>
    <col min="4" max="4" width="28" customWidth="1"/>
    <col min="5" max="5" width="15" customWidth="1"/>
    <col min="6" max="6" width="22" customWidth="1"/>
    <col min="7" max="7" width="25" customWidth="1"/>
  </cols>
  <sheetData>
    <row r="1" spans="1:7" ht="21" x14ac:dyDescent="0.35">
      <c r="A1" s="1" t="s">
        <v>396</v>
      </c>
    </row>
    <row r="2" spans="1:7" ht="15" x14ac:dyDescent="0.25">
      <c r="A2" s="2" t="s">
        <v>397</v>
      </c>
    </row>
    <row r="4" spans="1:7" x14ac:dyDescent="0.2">
      <c r="A4" s="3">
        <v>1</v>
      </c>
      <c r="B4" s="4" t="s">
        <v>398</v>
      </c>
      <c r="C4" s="4" t="s">
        <v>399</v>
      </c>
      <c r="D4" s="4" t="s">
        <v>400</v>
      </c>
      <c r="E4" s="3" t="s">
        <v>401</v>
      </c>
      <c r="F4" s="3" t="s">
        <v>402</v>
      </c>
      <c r="G4" s="15">
        <v>550000</v>
      </c>
    </row>
    <row r="5" spans="1:7" x14ac:dyDescent="0.2">
      <c r="A5" s="8">
        <v>2</v>
      </c>
      <c r="B5" s="11" t="s">
        <v>398</v>
      </c>
      <c r="C5" s="11" t="s">
        <v>399</v>
      </c>
      <c r="D5" s="11" t="s">
        <v>400</v>
      </c>
      <c r="E5" s="8" t="s">
        <v>403</v>
      </c>
      <c r="F5" s="8" t="s">
        <v>404</v>
      </c>
      <c r="G5" s="15">
        <v>215000</v>
      </c>
    </row>
    <row r="6" spans="1:7" x14ac:dyDescent="0.2">
      <c r="A6" s="8">
        <v>3</v>
      </c>
      <c r="B6" s="11" t="s">
        <v>405</v>
      </c>
      <c r="C6" s="11" t="s">
        <v>406</v>
      </c>
      <c r="D6" s="11" t="s">
        <v>407</v>
      </c>
      <c r="E6" s="8" t="s">
        <v>401</v>
      </c>
      <c r="F6" s="8" t="s">
        <v>402</v>
      </c>
      <c r="G6" s="15">
        <v>388500</v>
      </c>
    </row>
    <row r="7" spans="1:7" x14ac:dyDescent="0.2">
      <c r="A7" s="8">
        <v>4</v>
      </c>
      <c r="B7" s="11" t="s">
        <v>408</v>
      </c>
      <c r="C7" s="11" t="s">
        <v>406</v>
      </c>
      <c r="D7" s="11" t="s">
        <v>407</v>
      </c>
      <c r="E7" s="8" t="s">
        <v>403</v>
      </c>
      <c r="F7" s="8" t="s">
        <v>409</v>
      </c>
      <c r="G7" s="15">
        <v>266400</v>
      </c>
    </row>
    <row r="8" spans="1:7" x14ac:dyDescent="0.2">
      <c r="A8" s="8">
        <v>5</v>
      </c>
      <c r="B8" s="11" t="s">
        <v>169</v>
      </c>
      <c r="C8" s="11" t="s">
        <v>410</v>
      </c>
      <c r="D8" s="11" t="s">
        <v>411</v>
      </c>
      <c r="E8" s="8" t="s">
        <v>412</v>
      </c>
      <c r="F8" s="8" t="s">
        <v>409</v>
      </c>
      <c r="G8" s="15">
        <v>200000</v>
      </c>
    </row>
    <row r="9" spans="1:7" x14ac:dyDescent="0.2">
      <c r="A9" s="8">
        <v>6</v>
      </c>
      <c r="B9" s="11" t="s">
        <v>169</v>
      </c>
      <c r="C9" s="11" t="s">
        <v>410</v>
      </c>
      <c r="D9" s="11" t="s">
        <v>411</v>
      </c>
      <c r="E9" s="8" t="s">
        <v>413</v>
      </c>
      <c r="F9" s="8" t="s">
        <v>409</v>
      </c>
      <c r="G9" s="15">
        <v>245000</v>
      </c>
    </row>
    <row r="10" spans="1:7" x14ac:dyDescent="0.2">
      <c r="A10" s="8">
        <v>7</v>
      </c>
      <c r="B10" s="11" t="s">
        <v>169</v>
      </c>
      <c r="C10" s="11" t="s">
        <v>410</v>
      </c>
      <c r="D10" s="11" t="s">
        <v>411</v>
      </c>
      <c r="E10" s="8" t="s">
        <v>414</v>
      </c>
      <c r="F10" s="8" t="s">
        <v>409</v>
      </c>
      <c r="G10" s="15">
        <v>490000</v>
      </c>
    </row>
    <row r="11" spans="1:7" x14ac:dyDescent="0.2">
      <c r="A11" s="8">
        <v>8</v>
      </c>
      <c r="B11" s="11" t="s">
        <v>415</v>
      </c>
      <c r="C11" s="11" t="s">
        <v>416</v>
      </c>
      <c r="D11" s="11" t="s">
        <v>417</v>
      </c>
      <c r="E11" s="8" t="s">
        <v>403</v>
      </c>
      <c r="F11" s="8" t="s">
        <v>418</v>
      </c>
      <c r="G11" s="15">
        <v>155800</v>
      </c>
    </row>
    <row r="12" spans="1:7" x14ac:dyDescent="0.2">
      <c r="A12" s="8">
        <v>9</v>
      </c>
      <c r="B12" s="11" t="s">
        <v>419</v>
      </c>
      <c r="C12" s="11" t="s">
        <v>420</v>
      </c>
      <c r="D12" s="11" t="s">
        <v>421</v>
      </c>
      <c r="E12" s="8" t="s">
        <v>414</v>
      </c>
      <c r="F12" s="8" t="s">
        <v>422</v>
      </c>
      <c r="G12" s="15">
        <v>86100</v>
      </c>
    </row>
    <row r="13" spans="1:7" x14ac:dyDescent="0.2">
      <c r="A13" s="8">
        <v>10</v>
      </c>
      <c r="B13" s="11" t="s">
        <v>419</v>
      </c>
      <c r="C13" s="11" t="s">
        <v>423</v>
      </c>
      <c r="D13" s="11" t="s">
        <v>421</v>
      </c>
      <c r="E13" s="8" t="s">
        <v>414</v>
      </c>
      <c r="F13" s="8" t="s">
        <v>422</v>
      </c>
      <c r="G13" s="15">
        <v>99480</v>
      </c>
    </row>
    <row r="14" spans="1:7" x14ac:dyDescent="0.2">
      <c r="A14" s="8">
        <v>11</v>
      </c>
      <c r="B14" s="11" t="s">
        <v>419</v>
      </c>
      <c r="C14" s="11" t="s">
        <v>424</v>
      </c>
      <c r="D14" s="11" t="s">
        <v>421</v>
      </c>
      <c r="E14" s="8" t="s">
        <v>425</v>
      </c>
      <c r="F14" s="8" t="s">
        <v>426</v>
      </c>
      <c r="G14" s="15">
        <v>14700</v>
      </c>
    </row>
    <row r="15" spans="1:7" x14ac:dyDescent="0.2">
      <c r="A15" s="8">
        <v>12</v>
      </c>
      <c r="B15" s="11" t="s">
        <v>427</v>
      </c>
      <c r="C15" s="11" t="s">
        <v>420</v>
      </c>
      <c r="D15" s="11" t="s">
        <v>428</v>
      </c>
      <c r="E15" s="8" t="s">
        <v>429</v>
      </c>
      <c r="F15" s="8" t="s">
        <v>430</v>
      </c>
      <c r="G15" s="15">
        <v>143500</v>
      </c>
    </row>
    <row r="16" spans="1:7" x14ac:dyDescent="0.2">
      <c r="A16" s="8">
        <v>13</v>
      </c>
      <c r="B16" s="11" t="s">
        <v>427</v>
      </c>
      <c r="C16" s="11" t="s">
        <v>423</v>
      </c>
      <c r="D16" s="11" t="s">
        <v>428</v>
      </c>
      <c r="E16" s="8" t="s">
        <v>429</v>
      </c>
      <c r="F16" s="8" t="s">
        <v>430</v>
      </c>
      <c r="G16" s="15">
        <v>165800</v>
      </c>
    </row>
    <row r="17" spans="1:7" x14ac:dyDescent="0.2">
      <c r="A17" s="8">
        <v>14</v>
      </c>
      <c r="B17" s="11" t="s">
        <v>427</v>
      </c>
      <c r="C17" s="11" t="s">
        <v>424</v>
      </c>
      <c r="D17" s="11" t="s">
        <v>428</v>
      </c>
      <c r="E17" s="8" t="s">
        <v>425</v>
      </c>
      <c r="F17" s="8" t="s">
        <v>426</v>
      </c>
      <c r="G17" s="15">
        <v>24500</v>
      </c>
    </row>
    <row r="18" spans="1:7" x14ac:dyDescent="0.2">
      <c r="A18" s="8">
        <v>15</v>
      </c>
      <c r="B18" s="11" t="s">
        <v>431</v>
      </c>
      <c r="C18" s="11" t="s">
        <v>432</v>
      </c>
      <c r="D18" s="11" t="s">
        <v>433</v>
      </c>
      <c r="E18" s="8" t="s">
        <v>414</v>
      </c>
      <c r="F18" s="8" t="s">
        <v>434</v>
      </c>
      <c r="G18" s="15">
        <v>85500</v>
      </c>
    </row>
    <row r="19" spans="1:7" x14ac:dyDescent="0.2">
      <c r="A19" s="8">
        <v>16</v>
      </c>
      <c r="B19" s="11" t="s">
        <v>435</v>
      </c>
      <c r="C19" s="11" t="s">
        <v>436</v>
      </c>
      <c r="D19" s="11" t="s">
        <v>437</v>
      </c>
      <c r="E19" s="8" t="s">
        <v>414</v>
      </c>
      <c r="F19" s="8" t="s">
        <v>434</v>
      </c>
      <c r="G19" s="15">
        <v>48800</v>
      </c>
    </row>
    <row r="20" spans="1:7" x14ac:dyDescent="0.2">
      <c r="A20" s="8">
        <v>17</v>
      </c>
      <c r="B20" s="11" t="s">
        <v>438</v>
      </c>
      <c r="C20" s="11" t="s">
        <v>439</v>
      </c>
      <c r="D20" s="11" t="s">
        <v>440</v>
      </c>
      <c r="E20" s="8" t="s">
        <v>414</v>
      </c>
      <c r="F20" s="8" t="s">
        <v>434</v>
      </c>
      <c r="G20" s="15">
        <v>45000</v>
      </c>
    </row>
    <row r="21" spans="1:7" x14ac:dyDescent="0.2">
      <c r="A21" s="8">
        <v>18</v>
      </c>
      <c r="B21" s="11" t="s">
        <v>441</v>
      </c>
      <c r="C21" s="11" t="s">
        <v>442</v>
      </c>
      <c r="D21" s="11" t="s">
        <v>440</v>
      </c>
      <c r="E21" s="8" t="s">
        <v>414</v>
      </c>
      <c r="F21" s="8" t="s">
        <v>434</v>
      </c>
      <c r="G21" s="15">
        <v>17500</v>
      </c>
    </row>
    <row r="22" spans="1:7" ht="15" x14ac:dyDescent="0.2">
      <c r="A22" s="12"/>
      <c r="B22" s="13" t="s">
        <v>443</v>
      </c>
      <c r="C22" s="12"/>
      <c r="D22" s="12"/>
      <c r="E22" s="12"/>
      <c r="F22" s="12"/>
      <c r="G22" s="14">
        <f>SUM(G4:G21)</f>
        <v>3241580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جدول البنود المستقلة</vt:lpstr>
      <vt:lpstr>جدول مضخات الحريق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sharief Abdul Rahman</cp:lastModifiedBy>
  <dcterms:created xsi:type="dcterms:W3CDTF">2026-09-12T04:10:16Z</dcterms:created>
  <dcterms:modified xsi:type="dcterms:W3CDTF">2026-09-12T04:14:44Z</dcterms:modified>
</cp:coreProperties>
</file>