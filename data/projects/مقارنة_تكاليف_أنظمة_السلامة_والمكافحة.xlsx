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 التقرير" sheetId="1" state="visible" r:id="rId1"/>
    <sheet xmlns:r="http://schemas.openxmlformats.org/officeDocument/2006/relationships" name="ملخص المشروعات" sheetId="2" state="visible" r:id="rId2"/>
    <sheet xmlns:r="http://schemas.openxmlformats.org/officeDocument/2006/relationships" name="تفاصيل الأنظمة والعرو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ر.س&quot;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FF"/>
      <sz val="11"/>
      <u val="single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D6DCE4"/>
        <bgColor rgb="00D6DCE4"/>
      </patternFill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3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5" fillId="0" borderId="3" pivotButton="0" quotePrefix="0" xfId="0"/>
    <xf numFmtId="165" fontId="5" fillId="5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5" customWidth="1" min="3" max="3"/>
    <col width="65" customWidth="1" min="4" max="4"/>
    <col width="22" customWidth="1" min="5" max="5"/>
  </cols>
  <sheetData>
    <row r="2">
      <c r="B2" s="1" t="inlineStr">
        <is>
          <t>فهرس تقرير مقارنة أسعار أنظمة السلامة ومكافحة الحريق</t>
        </is>
      </c>
    </row>
    <row r="3">
      <c r="B3" s="2" t="inlineStr">
        <is>
          <t>ملخص مالي شامل لعروض الأسعار المرفقة بحسب نوع النظام والجهة الموجه لها</t>
        </is>
      </c>
    </row>
    <row r="5">
      <c r="B5" s="3" t="inlineStr">
        <is>
          <t>م</t>
        </is>
      </c>
      <c r="C5" s="3" t="inlineStr">
        <is>
          <t>اسم الصفحة</t>
        </is>
      </c>
      <c r="D5" s="3" t="inlineStr">
        <is>
          <t>وصف المحتوى</t>
        </is>
      </c>
      <c r="E5" s="3" t="inlineStr">
        <is>
          <t>الرابط المباشر</t>
        </is>
      </c>
    </row>
    <row r="6">
      <c r="B6" s="4" t="n">
        <v>1</v>
      </c>
      <c r="C6" s="5" t="inlineStr">
        <is>
          <t>ملخص المشروعات</t>
        </is>
      </c>
      <c r="D6" s="5" t="inlineStr">
        <is>
          <t>جدول مقارنة إجمالي لتكاليف المشروعات موزعة حسب نوع النظام (إطفاء، إنذار، تهوية، أنظمة أخرى) مع نسب المشاركة.</t>
        </is>
      </c>
      <c r="E6" s="6">
        <f>HYPERLINK("='ملخص المشروعات'!A1", "الانتقال إلى الصفحة ➔")</f>
        <v/>
      </c>
    </row>
    <row r="7">
      <c r="B7" s="4" t="n">
        <v>2</v>
      </c>
      <c r="C7" s="5" t="inlineStr">
        <is>
          <t>تفاصيل الأنظمة والعروض</t>
        </is>
      </c>
      <c r="D7" s="5" t="inlineStr">
        <is>
          <t>بيان تفصيلي لكل مشروع يوضح اسم العميل، الشائبة/المقاول، المرجع المرفق، التكاليف التفصيلية، وملاحظات الشروط والضريبة.</t>
        </is>
      </c>
      <c r="E7" s="6">
        <f>HYPERLINK("='تفاصيل الأنظمة والعروض'!A1", "الانتقال إلى الصفحة ➔")</f>
        <v/>
      </c>
    </row>
    <row r="10">
      <c r="B10" s="7" t="inlineStr">
        <is>
          <t>دليل دلالة الألوان في الملف:</t>
        </is>
      </c>
    </row>
    <row r="11">
      <c r="B11" s="5" t="inlineStr">
        <is>
          <t>خلفية زرقاء داكنة</t>
        </is>
      </c>
      <c r="C11" s="5" t="inlineStr">
        <is>
          <t>عناوين الجداول الرئيسية ورؤوس الصفحات</t>
        </is>
      </c>
    </row>
    <row r="12">
      <c r="B12" s="5" t="inlineStr">
        <is>
          <t>خلفية زرقاء فاتحة</t>
        </is>
      </c>
      <c r="C12" s="5" t="inlineStr">
        <is>
          <t>قيم مدخلة أو تقديرية قابلة للتعديل</t>
        </is>
      </c>
    </row>
    <row r="13">
      <c r="B13" s="5" t="inlineStr">
        <is>
          <t>خلفية خضراء فاتحة</t>
        </is>
      </c>
      <c r="C13" s="5" t="inlineStr">
        <is>
          <t>معادلات وحسابات إجمالية تلقائية</t>
        </is>
      </c>
    </row>
    <row r="14">
      <c r="B14" s="5" t="inlineStr">
        <is>
          <t>خلفية رمادية</t>
        </is>
      </c>
      <c r="C14" s="5" t="inlineStr">
        <is>
          <t>مجاميع فرعية وفواصل أقسام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42" customWidth="1" min="3" max="3"/>
    <col width="40" customWidth="1" min="4" max="4"/>
    <col width="24" customWidth="1" min="5" max="5"/>
    <col width="24" customWidth="1" min="6" max="6"/>
    <col width="26" customWidth="1" min="7" max="7"/>
    <col width="24" customWidth="1" min="8" max="8"/>
    <col width="28" customWidth="1" min="9" max="9"/>
    <col width="26" customWidth="1" min="10" max="10"/>
    <col width="28" customWidth="1" min="11" max="11"/>
  </cols>
  <sheetData>
    <row r="2">
      <c r="B2" s="1" t="inlineStr">
        <is>
          <t>ملخص مقارنة تكاليف المشروعات بحسب نوع النظام</t>
        </is>
      </c>
    </row>
    <row r="3">
      <c r="B3" s="2" t="inlineStr">
        <is>
          <t>تجميع التكاليف الإجمالية لنظم الإطفاء، الإنذار المبكر، والتهوية وسحب الدخان</t>
        </is>
      </c>
    </row>
    <row r="5">
      <c r="B5" s="8" t="inlineStr">
        <is>
          <t>م</t>
        </is>
      </c>
      <c r="C5" s="8" t="inlineStr">
        <is>
          <t>اسم المشروع</t>
        </is>
      </c>
      <c r="D5" s="8" t="inlineStr">
        <is>
          <t>الجهة / العميل الموجه له</t>
        </is>
      </c>
      <c r="E5" s="8" t="inlineStr">
        <is>
          <t>نظام إطفاء الحريق (ر.س)</t>
        </is>
      </c>
      <c r="F5" s="8" t="inlineStr">
        <is>
          <t>نظام إنذار الحريق (ر.س)</t>
        </is>
      </c>
      <c r="G5" s="8" t="inlineStr">
        <is>
          <t>نظام التهوية وسحب الدخان (ر.س)</t>
        </is>
      </c>
      <c r="H5" s="8" t="inlineStr">
        <is>
          <t>أنظمة سلامة أخرى (ر.س)</t>
        </is>
      </c>
      <c r="I5" s="8" t="inlineStr">
        <is>
          <t>إجمالي المشروع قبل الضريبة (ر.س)</t>
        </is>
      </c>
      <c r="J5" s="8" t="inlineStr">
        <is>
          <t>ضريبة القيمة المضافة 15% (ر.س)</t>
        </is>
      </c>
      <c r="K5" s="8" t="inlineStr">
        <is>
          <t>الإجمالي شامل الضريبة (ر.س)</t>
        </is>
      </c>
    </row>
    <row r="6">
      <c r="B6" s="4" t="n">
        <v>1</v>
      </c>
      <c r="C6" s="5" t="inlineStr">
        <is>
          <t>مشروع برج طويق (عرض شركة شاجي)</t>
        </is>
      </c>
      <c r="D6" s="5" t="inlineStr">
        <is>
          <t>المهندس إبراهيم بن عبد الله / مشروع برج طويق</t>
        </is>
      </c>
      <c r="E6" s="9" t="n">
        <v>6297508</v>
      </c>
      <c r="F6" s="9" t="n">
        <v>4446630</v>
      </c>
      <c r="G6" s="9" t="n">
        <v>9089800</v>
      </c>
      <c r="H6" s="9" t="n">
        <v>931000</v>
      </c>
      <c r="I6" s="10">
        <f>SUM(E6:H6)</f>
        <v/>
      </c>
      <c r="J6" s="10">
        <f>I6*0.15</f>
        <v/>
      </c>
      <c r="K6" s="11">
        <f>I6+J6</f>
        <v/>
      </c>
    </row>
    <row r="7">
      <c r="B7" s="12" t="n">
        <v>2</v>
      </c>
      <c r="C7" s="13" t="inlineStr">
        <is>
          <t>مشروع برج طويق (عرض شركة المهيدب)</t>
        </is>
      </c>
      <c r="D7" s="13" t="inlineStr">
        <is>
          <t>شركة المهيدب / مشروع برج طويق</t>
        </is>
      </c>
      <c r="E7" s="14" t="n">
        <v>5435603</v>
      </c>
      <c r="F7" s="14" t="n">
        <v>1705613</v>
      </c>
      <c r="G7" s="14" t="n">
        <v>6791100</v>
      </c>
      <c r="H7" s="14" t="n">
        <v>1797324</v>
      </c>
      <c r="I7" s="10">
        <f>SUM(E7:H7)</f>
        <v/>
      </c>
      <c r="J7" s="10">
        <f>I7*0.15</f>
        <v/>
      </c>
      <c r="K7" s="11">
        <f>I7+J7</f>
        <v/>
      </c>
    </row>
    <row r="8">
      <c r="B8" s="4" t="n">
        <v>3</v>
      </c>
      <c r="C8" s="5" t="inlineStr">
        <is>
          <t>مشروع المباني الإدارية بمدينة الباحة</t>
        </is>
      </c>
      <c r="D8" s="5" t="inlineStr">
        <is>
          <t>الأستاذ أنيس ناصر / مباني الباحة الإدارية</t>
        </is>
      </c>
      <c r="E8" s="9" t="n">
        <v>3200000</v>
      </c>
      <c r="F8" s="9" t="n">
        <v>2640340</v>
      </c>
      <c r="G8" s="9" t="n">
        <v>0</v>
      </c>
      <c r="H8" s="9" t="n">
        <v>0</v>
      </c>
      <c r="I8" s="10">
        <f>SUM(E8:H8)</f>
        <v/>
      </c>
      <c r="J8" s="10">
        <f>I8*0.15</f>
        <v/>
      </c>
      <c r="K8" s="11">
        <f>I8+J8</f>
        <v/>
      </c>
    </row>
    <row r="9">
      <c r="B9" s="12" t="n">
        <v>4</v>
      </c>
      <c r="C9" s="13" t="inlineStr">
        <is>
          <t>مبنى المقر الرئيسي لشركة ابن سعيدان</t>
        </is>
      </c>
      <c r="D9" s="13" t="inlineStr">
        <is>
          <t>شركة ابن سعيدان وعبد الله بن سعيدان</t>
        </is>
      </c>
      <c r="E9" s="14" t="n">
        <v>275280</v>
      </c>
      <c r="F9" s="14" t="n">
        <v>208950</v>
      </c>
      <c r="G9" s="14" t="n">
        <v>0</v>
      </c>
      <c r="H9" s="14" t="n">
        <v>0</v>
      </c>
      <c r="I9" s="10">
        <f>SUM(E9:H9)</f>
        <v/>
      </c>
      <c r="J9" s="10">
        <f>I9*0.15</f>
        <v/>
      </c>
      <c r="K9" s="11">
        <f>I9+J9</f>
        <v/>
      </c>
    </row>
    <row r="10">
      <c r="B10" s="4" t="n">
        <v>5</v>
      </c>
      <c r="C10" s="5" t="inlineStr">
        <is>
          <t>مشروع مدينة الملك سلمان للطاقة (SPARK - غرفة Switchgear)</t>
        </is>
      </c>
      <c r="D10" s="5" t="inlineStr">
        <is>
          <t>شركة المسكن الميسر / مشروع SPARK-ECODAN</t>
        </is>
      </c>
      <c r="E10" s="9" t="n">
        <v>116450</v>
      </c>
      <c r="F10" s="9" t="n">
        <v>0</v>
      </c>
      <c r="G10" s="9" t="n">
        <v>0</v>
      </c>
      <c r="H10" s="9" t="n">
        <v>0</v>
      </c>
      <c r="I10" s="10">
        <f>SUM(E10:H10)</f>
        <v/>
      </c>
      <c r="J10" s="10">
        <f>I10*0.15</f>
        <v/>
      </c>
      <c r="K10" s="11">
        <f>I10+J10</f>
        <v/>
      </c>
    </row>
    <row r="11">
      <c r="B11" s="12" t="n">
        <v>6</v>
      </c>
      <c r="C11" s="13" t="inlineStr">
        <is>
          <t>مشروع مجمع عذوق السكني (عرض 3)</t>
        </is>
      </c>
      <c r="D11" s="13" t="inlineStr">
        <is>
          <t>شركة المسكن الميسر / مجمع عذوق السكني</t>
        </is>
      </c>
      <c r="E11" s="14" t="n">
        <v>299200</v>
      </c>
      <c r="F11" s="14" t="n">
        <v>344640</v>
      </c>
      <c r="G11" s="14" t="n">
        <v>0</v>
      </c>
      <c r="H11" s="14" t="n">
        <v>0</v>
      </c>
      <c r="I11" s="10">
        <f>SUM(E11:H11)</f>
        <v/>
      </c>
      <c r="J11" s="10">
        <f>I11*0.15</f>
        <v/>
      </c>
      <c r="K11" s="11">
        <f>I11+J11</f>
        <v/>
      </c>
    </row>
    <row r="12">
      <c r="B12" s="4" t="n">
        <v>7</v>
      </c>
      <c r="C12" s="5" t="inlineStr">
        <is>
          <t>مشروع حقوق الإنسان (مؤسسة تكافل الخيرية)</t>
        </is>
      </c>
      <c r="D12" s="5" t="inlineStr">
        <is>
          <t>مؤسسة تكافل الخيرية / موقع حقوق الإنسان</t>
        </is>
      </c>
      <c r="E12" s="9" t="n">
        <v>181950</v>
      </c>
      <c r="F12" s="9" t="n">
        <v>303450</v>
      </c>
      <c r="G12" s="9" t="n">
        <v>65000</v>
      </c>
      <c r="H12" s="9" t="n">
        <v>134850</v>
      </c>
      <c r="I12" s="10">
        <f>SUM(E12:H12)</f>
        <v/>
      </c>
      <c r="J12" s="10">
        <f>I12*0.15</f>
        <v/>
      </c>
      <c r="K12" s="11">
        <f>I12+J12</f>
        <v/>
      </c>
    </row>
    <row r="13">
      <c r="B13" s="12" t="n">
        <v>8</v>
      </c>
      <c r="C13" s="13" t="inlineStr">
        <is>
          <t>مشروع المؤسسة العامة لتحلية المياه المالحة بالباحة</t>
        </is>
      </c>
      <c r="D13" s="13" t="inlineStr">
        <is>
          <t>شركة الأمان للمقاولات / تحلية المياه بالباحة</t>
        </is>
      </c>
      <c r="E13" s="14" t="n">
        <v>1121017</v>
      </c>
      <c r="F13" s="14" t="n">
        <v>800000</v>
      </c>
      <c r="G13" s="14" t="n">
        <v>0</v>
      </c>
      <c r="H13" s="14" t="n">
        <v>0</v>
      </c>
      <c r="I13" s="10">
        <f>SUM(E13:H13)</f>
        <v/>
      </c>
      <c r="J13" s="10">
        <f>I13*0.15</f>
        <v/>
      </c>
      <c r="K13" s="11">
        <f>I13+J13</f>
        <v/>
      </c>
    </row>
    <row r="14">
      <c r="B14" s="4" t="n">
        <v>9</v>
      </c>
      <c r="C14" s="5" t="inlineStr">
        <is>
          <t>مشروع الشركة الكيميائية الحديثة للخدمات (المويه)</t>
        </is>
      </c>
      <c r="D14" s="5" t="inlineStr">
        <is>
          <t>الشركة الكيميائية الحديثة للخدمات</t>
        </is>
      </c>
      <c r="E14" s="9" t="n">
        <v>1503346</v>
      </c>
      <c r="F14" s="9" t="n">
        <v>96750</v>
      </c>
      <c r="G14" s="9" t="n">
        <v>0</v>
      </c>
      <c r="H14" s="9" t="n">
        <v>0</v>
      </c>
      <c r="I14" s="10">
        <f>SUM(E14:H14)</f>
        <v/>
      </c>
      <c r="J14" s="10">
        <f>I14*0.15</f>
        <v/>
      </c>
      <c r="K14" s="11">
        <f>I14+J14</f>
        <v/>
      </c>
    </row>
    <row r="15">
      <c r="B15" s="12" t="n">
        <v>10</v>
      </c>
      <c r="C15" s="13" t="inlineStr">
        <is>
          <t>مشروع مستودعات ناصر البداح (حي السلي)</t>
        </is>
      </c>
      <c r="D15" s="13" t="inlineStr">
        <is>
          <t>مستودعات ناصر البداح (حي السلي - الرياض)</t>
        </is>
      </c>
      <c r="E15" s="14" t="n">
        <v>157590</v>
      </c>
      <c r="F15" s="14" t="n">
        <v>37460</v>
      </c>
      <c r="G15" s="14" t="n">
        <v>0</v>
      </c>
      <c r="H15" s="14" t="n">
        <v>0</v>
      </c>
      <c r="I15" s="10">
        <f>SUM(E15:H15)</f>
        <v/>
      </c>
      <c r="J15" s="10">
        <f>I15*0.15</f>
        <v/>
      </c>
      <c r="K15" s="11">
        <f>I15+J15</f>
        <v/>
      </c>
    </row>
    <row r="16">
      <c r="B16" s="4" t="n">
        <v>11</v>
      </c>
      <c r="C16" s="5" t="inlineStr">
        <is>
          <t>مشروع أبراج التعاونية</t>
        </is>
      </c>
      <c r="D16" s="5" t="inlineStr">
        <is>
          <t>إدارة مبنى أبراج التعاونية</t>
        </is>
      </c>
      <c r="E16" s="9" t="n">
        <v>674636</v>
      </c>
      <c r="F16" s="9" t="n">
        <v>917373</v>
      </c>
      <c r="G16" s="9" t="n">
        <v>518908</v>
      </c>
      <c r="H16" s="9" t="n">
        <v>966450</v>
      </c>
      <c r="I16" s="10">
        <f>SUM(E16:H16)</f>
        <v/>
      </c>
      <c r="J16" s="10">
        <f>I16*0.15</f>
        <v/>
      </c>
      <c r="K16" s="11">
        <f>I16+J16</f>
        <v/>
      </c>
    </row>
    <row r="17">
      <c r="B17" s="12" t="n">
        <v>12</v>
      </c>
      <c r="C17" s="13" t="inlineStr">
        <is>
          <t>مشروع مستودع حي المناخ 2000م (أبو عبد الرحمن)</t>
        </is>
      </c>
      <c r="D17" s="13" t="inlineStr">
        <is>
          <t>أبو عبد الرحمن (مستودع حي المناخ)</t>
        </is>
      </c>
      <c r="E17" s="14" t="n">
        <v>1050325</v>
      </c>
      <c r="F17" s="14" t="n">
        <v>176985</v>
      </c>
      <c r="G17" s="14" t="n">
        <v>0</v>
      </c>
      <c r="H17" s="14" t="n">
        <v>0</v>
      </c>
      <c r="I17" s="10">
        <f>SUM(E17:H17)</f>
        <v/>
      </c>
      <c r="J17" s="10">
        <f>I17*0.15</f>
        <v/>
      </c>
      <c r="K17" s="11">
        <f>I17+J17</f>
        <v/>
      </c>
    </row>
    <row r="18">
      <c r="B18" s="4" t="n">
        <v>13</v>
      </c>
      <c r="C18" s="5" t="inlineStr">
        <is>
          <t>مشروع حراج بن قاسم الجديد (فهد أبو بدر)</t>
        </is>
      </c>
      <c r="D18" s="5" t="inlineStr">
        <is>
          <t>فهد أبو بدر (حراج بن قاسم الجديد)</t>
        </is>
      </c>
      <c r="E18" s="9" t="n">
        <v>58524.5</v>
      </c>
      <c r="F18" s="9" t="n">
        <v>39965.5</v>
      </c>
      <c r="G18" s="9" t="n">
        <v>0</v>
      </c>
      <c r="H18" s="9" t="n">
        <v>0</v>
      </c>
      <c r="I18" s="10">
        <f>SUM(E18:H18)</f>
        <v/>
      </c>
      <c r="J18" s="10">
        <f>I18*0.15</f>
        <v/>
      </c>
      <c r="K18" s="11">
        <f>I18+J18</f>
        <v/>
      </c>
    </row>
    <row r="19">
      <c r="B19" s="12" t="n">
        <v>14</v>
      </c>
      <c r="C19" s="13" t="inlineStr">
        <is>
          <t>مشروع عمارة تجارية</t>
        </is>
      </c>
      <c r="D19" s="13" t="inlineStr">
        <is>
          <t>مشروع عمارة تجارية</t>
        </is>
      </c>
      <c r="E19" s="14" t="n">
        <v>131057</v>
      </c>
      <c r="F19" s="14" t="n">
        <v>60868</v>
      </c>
      <c r="G19" s="14" t="n">
        <v>0</v>
      </c>
      <c r="H19" s="14" t="n">
        <v>0</v>
      </c>
      <c r="I19" s="10">
        <f>SUM(E19:H19)</f>
        <v/>
      </c>
      <c r="J19" s="10">
        <f>I19*0.15</f>
        <v/>
      </c>
      <c r="K19" s="11">
        <f>I19+J19</f>
        <v/>
      </c>
    </row>
    <row r="20">
      <c r="B20" s="4" t="n">
        <v>15</v>
      </c>
      <c r="C20" s="5" t="inlineStr">
        <is>
          <t>شركة أضواء الخيالة (تقرير مواد إنذار)</t>
        </is>
      </c>
      <c r="D20" s="5" t="inlineStr">
        <is>
          <t>شركة أضواء الخيالة</t>
        </is>
      </c>
      <c r="E20" s="9" t="n">
        <v>0</v>
      </c>
      <c r="F20" s="9" t="n">
        <v>820709.11</v>
      </c>
      <c r="G20" s="9" t="n">
        <v>0</v>
      </c>
      <c r="H20" s="9" t="n">
        <v>0</v>
      </c>
      <c r="I20" s="10">
        <f>SUM(E20:H20)</f>
        <v/>
      </c>
      <c r="J20" s="10">
        <f>I20*0.15</f>
        <v/>
      </c>
      <c r="K20" s="11">
        <f>I20+J20</f>
        <v/>
      </c>
    </row>
    <row r="21">
      <c r="B21" s="12" t="n">
        <v>16</v>
      </c>
      <c r="C21" s="13" t="inlineStr">
        <is>
          <t>مشروع مصنع الصناعية الثالثة (مصنع اليراوي)</t>
        </is>
      </c>
      <c r="D21" s="13" t="inlineStr">
        <is>
          <t>مصنع اليراوي / المهندس ساجد دعبس</t>
        </is>
      </c>
      <c r="E21" s="14" t="n">
        <v>25490</v>
      </c>
      <c r="F21" s="14" t="n">
        <v>20000</v>
      </c>
      <c r="G21" s="14" t="n">
        <v>0</v>
      </c>
      <c r="H21" s="14" t="n">
        <v>0</v>
      </c>
      <c r="I21" s="10">
        <f>SUM(E21:H21)</f>
        <v/>
      </c>
      <c r="J21" s="10">
        <f>I21*0.15</f>
        <v/>
      </c>
      <c r="K21" s="11">
        <f>I21+J21</f>
        <v/>
      </c>
    </row>
    <row r="22">
      <c r="B22" s="4" t="n">
        <v>17</v>
      </c>
      <c r="C22" s="5" t="inlineStr">
        <is>
          <t>مشروع مستودعات الموسى (غرف التبريد)</t>
        </is>
      </c>
      <c r="D22" s="5" t="inlineStr">
        <is>
          <t>مستودعات الموسى (الرياض)</t>
        </is>
      </c>
      <c r="E22" s="9" t="n">
        <v>150000</v>
      </c>
      <c r="F22" s="9" t="n">
        <v>155100</v>
      </c>
      <c r="G22" s="9" t="n">
        <v>0</v>
      </c>
      <c r="H22" s="9" t="n">
        <v>0</v>
      </c>
      <c r="I22" s="10">
        <f>SUM(E22:H22)</f>
        <v/>
      </c>
      <c r="J22" s="10">
        <f>I22*0.15</f>
        <v/>
      </c>
      <c r="K22" s="11">
        <f>I22+J22</f>
        <v/>
      </c>
    </row>
    <row r="23">
      <c r="B23" s="12" t="n">
        <v>18</v>
      </c>
      <c r="C23" s="13" t="inlineStr">
        <is>
          <t>تسعيرة أعمال التهوية وسحب الدخان المنفصلة</t>
        </is>
      </c>
      <c r="D23" s="13" t="inlineStr">
        <is>
          <t>مشروع عام تهوية</t>
        </is>
      </c>
      <c r="E23" s="14" t="n">
        <v>0</v>
      </c>
      <c r="F23" s="14" t="n">
        <v>0</v>
      </c>
      <c r="G23" s="14" t="n">
        <v>1118040</v>
      </c>
      <c r="H23" s="14" t="n">
        <v>0</v>
      </c>
      <c r="I23" s="10">
        <f>SUM(E23:H23)</f>
        <v/>
      </c>
      <c r="J23" s="10">
        <f>I23*0.15</f>
        <v/>
      </c>
      <c r="K23" s="11">
        <f>I23+J23</f>
        <v/>
      </c>
    </row>
    <row r="24">
      <c r="B24" s="15" t="inlineStr"/>
      <c r="C24" s="16" t="inlineStr">
        <is>
          <t>الإجمالي الكلي لجميع المشروعات</t>
        </is>
      </c>
      <c r="D24" s="15" t="inlineStr"/>
      <c r="E24" s="17">
        <f>SUM(E6:E23)</f>
        <v/>
      </c>
      <c r="F24" s="17">
        <f>SUM(F6:F23)</f>
        <v/>
      </c>
      <c r="G24" s="17">
        <f>SUM(G6:G23)</f>
        <v/>
      </c>
      <c r="H24" s="17">
        <f>SUM(H6:H23)</f>
        <v/>
      </c>
      <c r="I24" s="17">
        <f>SUM(I6:I23)</f>
        <v/>
      </c>
      <c r="J24" s="17">
        <f>SUM(J6:J23)</f>
        <v/>
      </c>
      <c r="K24" s="17">
        <f>SUM(K6:K23)</f>
        <v/>
      </c>
    </row>
    <row r="27">
      <c r="C27" s="7" t="inlineStr">
        <is>
          <t>توزيع نسب التكاليف الإجمالية بحسب نوع النظام</t>
        </is>
      </c>
    </row>
    <row r="28">
      <c r="C28" s="18" t="inlineStr">
        <is>
          <t>نوع النظام</t>
        </is>
      </c>
      <c r="D28" s="18" t="inlineStr">
        <is>
          <t>التكلفة الإجمالية (ر.س)</t>
        </is>
      </c>
      <c r="E28" s="18" t="inlineStr">
        <is>
          <t>نسبة المشاركة من الإجمالي</t>
        </is>
      </c>
    </row>
    <row r="29">
      <c r="C29" s="5" t="inlineStr">
        <is>
          <t>أنظمة إطفاء الحريق</t>
        </is>
      </c>
      <c r="D29" s="10">
        <f>E24</f>
        <v/>
      </c>
      <c r="E29" s="19">
        <f>D29/I24</f>
        <v/>
      </c>
    </row>
    <row r="30">
      <c r="C30" s="5" t="inlineStr">
        <is>
          <t>أنظمة إنذار الحريق</t>
        </is>
      </c>
      <c r="D30" s="10">
        <f>F24</f>
        <v/>
      </c>
      <c r="E30" s="19">
        <f>D30/I24</f>
        <v/>
      </c>
    </row>
    <row r="31">
      <c r="C31" s="5" t="inlineStr">
        <is>
          <t>أنظمة التهوية وسحب الدخان</t>
        </is>
      </c>
      <c r="D31" s="10">
        <f>G24</f>
        <v/>
      </c>
      <c r="E31" s="19">
        <f>D31/I24</f>
        <v/>
      </c>
    </row>
    <row r="32">
      <c r="C32" s="5" t="inlineStr">
        <is>
          <t>أنظمة السلامة الأخرى والمعمارية</t>
        </is>
      </c>
      <c r="D32" s="10">
        <f>H24</f>
        <v/>
      </c>
      <c r="E32" s="19">
        <f>D32/I24</f>
        <v/>
      </c>
    </row>
    <row r="33">
      <c r="C33" s="20" t="inlineStr">
        <is>
          <t>الإجمالي العام</t>
        </is>
      </c>
      <c r="D33" s="17">
        <f>SUM(D29:D32)</f>
        <v/>
      </c>
      <c r="E33" s="21">
        <f>SUM(E29:E32)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B2:L24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38" customWidth="1" min="3" max="3"/>
    <col width="38" customWidth="1" min="4" max="4"/>
    <col width="28" customWidth="1" min="5" max="5"/>
    <col width="35" customWidth="1" min="6" max="6"/>
    <col width="22" customWidth="1" min="7" max="7"/>
    <col width="22" customWidth="1" min="8" max="8"/>
    <col width="22" customWidth="1" min="9" max="9"/>
    <col width="22" customWidth="1" min="10" max="10"/>
    <col width="26" customWidth="1" min="11" max="11"/>
    <col width="50" customWidth="1" min="12" max="12"/>
  </cols>
  <sheetData>
    <row r="2">
      <c r="B2" s="1" t="inlineStr">
        <is>
          <t>بيان تفصيلي بعروض الأسعار والأنظمة للمشروعات</t>
        </is>
      </c>
    </row>
    <row r="3">
      <c r="B3" s="2" t="inlineStr">
        <is>
          <t>تفاصيل الجهات الموجه لها العروض، الشركات المقدمة، المراجع، وملاحظات الضريبة والتنفيذ</t>
        </is>
      </c>
    </row>
    <row r="5">
      <c r="B5" s="8" t="inlineStr">
        <is>
          <t>م</t>
        </is>
      </c>
      <c r="C5" s="8" t="inlineStr">
        <is>
          <t>اسم المشروع</t>
        </is>
      </c>
      <c r="D5" s="8" t="inlineStr">
        <is>
          <t>الشركة / المؤسسة الموجه لها العرض</t>
        </is>
      </c>
      <c r="E5" s="8" t="inlineStr">
        <is>
          <t>الجهة المقدمة للخدمة</t>
        </is>
      </c>
      <c r="F5" s="8" t="inlineStr">
        <is>
          <t>اسم الملف / المرجع المرفق</t>
        </is>
      </c>
      <c r="G5" s="8" t="inlineStr">
        <is>
          <t>تكلفة الإطفاء (ر.س)</t>
        </is>
      </c>
      <c r="H5" s="8" t="inlineStr">
        <is>
          <t>تكلفة الإنذار (ر.س)</t>
        </is>
      </c>
      <c r="I5" s="8" t="inlineStr">
        <is>
          <t>تكلفة التهوية (ر.س)</t>
        </is>
      </c>
      <c r="J5" s="8" t="inlineStr">
        <is>
          <t>أنظمة أخرى (ر.س)</t>
        </is>
      </c>
      <c r="K5" s="8" t="inlineStr">
        <is>
          <t>الإجمالي قبل الضريبة (ر.س)</t>
        </is>
      </c>
      <c r="L5" s="8" t="inlineStr">
        <is>
          <t>ملاحظات وتفاصيل البنود والشروط</t>
        </is>
      </c>
    </row>
    <row r="6">
      <c r="B6" s="4" t="n">
        <v>1</v>
      </c>
      <c r="C6" s="5" t="inlineStr">
        <is>
          <t>مشروع برج طويق (عرض شركة شاجي)</t>
        </is>
      </c>
      <c r="D6" s="5" t="inlineStr">
        <is>
          <t>المهندس إبراهيم بن عبد الله / مشروع برج طويق</t>
        </is>
      </c>
      <c r="E6" s="5" t="inlineStr">
        <is>
          <t>شركة شاجي لمعدات السلامة</t>
        </is>
      </c>
      <c r="F6" s="22" t="inlineStr">
        <is>
          <t>23-عرض سعر برج طويق-02.pdf</t>
        </is>
      </c>
      <c r="G6" s="9" t="n">
        <v>6297508</v>
      </c>
      <c r="H6" s="9" t="n">
        <v>4446630</v>
      </c>
      <c r="I6" s="9" t="n">
        <v>9089800</v>
      </c>
      <c r="J6" s="9" t="n">
        <v>931000</v>
      </c>
      <c r="K6" s="11">
        <f>SUM(G6:J6)</f>
        <v/>
      </c>
      <c r="L6" s="5" t="inlineStr">
        <is>
          <t>يشمل موانع صواعق بـ 792,000 ر.س وإنارة طيران بـ 139,000 ر.س</t>
        </is>
      </c>
    </row>
    <row r="7">
      <c r="B7" s="12" t="n">
        <v>2</v>
      </c>
      <c r="C7" s="13" t="inlineStr">
        <is>
          <t>مشروع برج طويق (عرض شركة المهيدب)</t>
        </is>
      </c>
      <c r="D7" s="13" t="inlineStr">
        <is>
          <t>شركة المهيدب / مشروع برج طويق</t>
        </is>
      </c>
      <c r="E7" s="13" t="inlineStr">
        <is>
          <t>شركة المهيدب</t>
        </is>
      </c>
      <c r="F7" s="23" t="inlineStr">
        <is>
          <t>QT26-1-1437 El-Towaiq Tower.pdf</t>
        </is>
      </c>
      <c r="G7" s="14" t="n">
        <v>5435603</v>
      </c>
      <c r="H7" s="14" t="n">
        <v>1705613</v>
      </c>
      <c r="I7" s="14" t="n">
        <v>6791100</v>
      </c>
      <c r="J7" s="14" t="n">
        <v>1797324</v>
      </c>
      <c r="K7" s="11">
        <f>SUM(G7:J7)</f>
        <v/>
      </c>
      <c r="L7" s="5" t="inlineStr">
        <is>
          <t>الخصم والضريبة المضافة 15% مضافة في الإجمالي (شامل الضريبة 18,089,086 ر.س)</t>
        </is>
      </c>
    </row>
    <row r="8">
      <c r="B8" s="4" t="n">
        <v>3</v>
      </c>
      <c r="C8" s="5" t="inlineStr">
        <is>
          <t>مشروع المباني الإدارية بمدينة الباحة</t>
        </is>
      </c>
      <c r="D8" s="5" t="inlineStr">
        <is>
          <t>الأستاذ أنيس ناصر / مباني الباحة الإدارية</t>
        </is>
      </c>
      <c r="E8" s="5" t="inlineStr">
        <is>
          <t>مؤسسة أسس السلامة</t>
        </is>
      </c>
      <c r="F8" s="22" t="inlineStr">
        <is>
          <t>Al-Baha offer.pdf / Quotation NWC (Albaha).pdf</t>
        </is>
      </c>
      <c r="G8" s="9" t="n">
        <v>3200000</v>
      </c>
      <c r="H8" s="9" t="n">
        <v>2640340</v>
      </c>
      <c r="I8" s="9" t="n">
        <v>0</v>
      </c>
      <c r="J8" s="9" t="n">
        <v>0</v>
      </c>
      <c r="K8" s="11">
        <f>SUM(G8:J8)</f>
        <v/>
      </c>
      <c r="L8" s="5" t="inlineStr">
        <is>
          <t>إجمالي العرض 5,840,340 ر.س غير شامل الضريبة (6,716,391 ر.س شامل الضريبة)</t>
        </is>
      </c>
    </row>
    <row r="9">
      <c r="B9" s="12" t="n">
        <v>4</v>
      </c>
      <c r="C9" s="13" t="inlineStr">
        <is>
          <t>مبنى المقر الرئيسي لشركة ابن سعيدان</t>
        </is>
      </c>
      <c r="D9" s="13" t="inlineStr">
        <is>
          <t>شركة ابن سعيدان وعبد الله بن سعيدان</t>
        </is>
      </c>
      <c r="E9" s="13" t="inlineStr">
        <is>
          <t>مؤسسة أسس السلامة</t>
        </is>
      </c>
      <c r="F9" s="23" t="inlineStr">
        <is>
          <t>Al-Saedan HQ Revised Offer.pdf / Offer- FIRE ALARM.pdf</t>
        </is>
      </c>
      <c r="G9" s="14" t="n">
        <v>275280</v>
      </c>
      <c r="H9" s="14" t="n">
        <v>208950</v>
      </c>
      <c r="I9" s="14" t="n">
        <v>0</v>
      </c>
      <c r="J9" s="14" t="n">
        <v>0</v>
      </c>
      <c r="K9" s="11">
        <f>SUM(G9:J9)</f>
        <v/>
      </c>
      <c r="L9" s="5" t="inlineStr">
        <is>
          <t>العرض المعدل للإطفاء 275,280 ر.س والإنذار 208,950 ر.س (الإجمالي 484,230 ر.س)</t>
        </is>
      </c>
    </row>
    <row r="10">
      <c r="B10" s="4" t="n">
        <v>5</v>
      </c>
      <c r="C10" s="5" t="inlineStr">
        <is>
          <t>مشروع مدينة الملك سلمان للطاقة (SPARK - غرفة Switchgear)</t>
        </is>
      </c>
      <c r="D10" s="5" t="inlineStr">
        <is>
          <t>شركة المسكن الميسر / مشروع SPARK-ECODAN</t>
        </is>
      </c>
      <c r="E10" s="5" t="inlineStr">
        <is>
          <t>مؤسسة أسس السلامة</t>
        </is>
      </c>
      <c r="F10" s="22" t="inlineStr">
        <is>
          <t>Spark Switchgear NOVEC offer.pdf</t>
        </is>
      </c>
      <c r="G10" s="9" t="n">
        <v>116450</v>
      </c>
      <c r="H10" s="9" t="n">
        <v>0</v>
      </c>
      <c r="I10" s="9" t="n">
        <v>0</v>
      </c>
      <c r="J10" s="9" t="n">
        <v>0</v>
      </c>
      <c r="K10" s="11">
        <f>SUM(G10:J10)</f>
        <v/>
      </c>
      <c r="L10" s="5" t="inlineStr">
        <is>
          <t>نظام إطفاء غاز NOVEC 1230 شامل التوريد والتركيب واللوحة والكواشف</t>
        </is>
      </c>
    </row>
    <row r="11">
      <c r="B11" s="12" t="n">
        <v>6</v>
      </c>
      <c r="C11" s="13" t="inlineStr">
        <is>
          <t>مشروع مجمع عذوق السكني (عرض 3)</t>
        </is>
      </c>
      <c r="D11" s="13" t="inlineStr">
        <is>
          <t>شركة المسكن الميسر / مجمع عذوق السكني</t>
        </is>
      </c>
      <c r="E11" s="13" t="inlineStr">
        <is>
          <t>شركة رئال / CSEC</t>
        </is>
      </c>
      <c r="F11" s="23" t="inlineStr">
        <is>
          <t>عرض مجمع عذوق 3.pdf / عرض سعر مجمع عذوق السكني 2.pdf</t>
        </is>
      </c>
      <c r="G11" s="14" t="n">
        <v>299200</v>
      </c>
      <c r="H11" s="14" t="n">
        <v>344640</v>
      </c>
      <c r="I11" s="14" t="n">
        <v>0</v>
      </c>
      <c r="J11" s="14" t="n">
        <v>0</v>
      </c>
      <c r="K11" s="11">
        <f>SUM(G11:J11)</f>
        <v/>
      </c>
      <c r="L11" s="5" t="inlineStr">
        <is>
          <t>إجمالي أعمال السلامة 643,840 ر.س قبل الضريبة (740,416 ر.س شامل الضريبة)</t>
        </is>
      </c>
    </row>
    <row r="12">
      <c r="B12" s="4" t="n">
        <v>7</v>
      </c>
      <c r="C12" s="5" t="inlineStr">
        <is>
          <t>مشروع حقوق الإنسان (مؤسسة تكافل الخيرية)</t>
        </is>
      </c>
      <c r="D12" s="5" t="inlineStr">
        <is>
          <t>مؤسسة تكافل الخيرية / موقع حقوق الإنسان</t>
        </is>
      </c>
      <c r="E12" s="5" t="inlineStr">
        <is>
          <t>مؤسسة أسس السلامة</t>
        </is>
      </c>
      <c r="F12" s="22" t="inlineStr">
        <is>
          <t>عرض سعر مؤسسة تكافل الخيرية.pdf</t>
        </is>
      </c>
      <c r="G12" s="9" t="n">
        <v>181950</v>
      </c>
      <c r="H12" s="9" t="n">
        <v>303450</v>
      </c>
      <c r="I12" s="9" t="n">
        <v>65000</v>
      </c>
      <c r="J12" s="9" t="n">
        <v>134850</v>
      </c>
      <c r="K12" s="11">
        <f>SUM(G12:J12)</f>
        <v/>
      </c>
      <c r="L12" s="5" t="inlineStr">
        <is>
          <t>إجمالي العرض 685,250 ر.س يتضمن تأهيل وتوريد أنظمة السلامة والإطفاء والإنذار</t>
        </is>
      </c>
    </row>
    <row r="13">
      <c r="B13" s="12" t="n">
        <v>8</v>
      </c>
      <c r="C13" s="13" t="inlineStr">
        <is>
          <t>مشروع المؤسسة العامة لتحلية المياه المالحة بالباحة</t>
        </is>
      </c>
      <c r="D13" s="13" t="inlineStr">
        <is>
          <t>شركة الأمان للمقاولات / تحلية المياه بالباحة</t>
        </is>
      </c>
      <c r="E13" s="13" t="inlineStr">
        <is>
          <t>مؤسسة أسس السلامة / الأمان</t>
        </is>
      </c>
      <c r="F13" s="23" t="inlineStr">
        <is>
          <t>عرض توريد وتركيب المؤسسة العامة لتحلية المياه المالحة 1.pdf / 2.pdf</t>
        </is>
      </c>
      <c r="G13" s="14" t="n">
        <v>1121017</v>
      </c>
      <c r="H13" s="14" t="n">
        <v>800000</v>
      </c>
      <c r="I13" s="14" t="n">
        <v>0</v>
      </c>
      <c r="J13" s="14" t="n">
        <v>0</v>
      </c>
      <c r="K13" s="11">
        <f>SUM(G13:J13)</f>
        <v/>
      </c>
      <c r="L13" s="5" t="inlineStr">
        <is>
          <t>العرض المعدل التنافسي بـ 1,921,017 ر.س (العرض الأول كان بـ 3,201,695 ر.س)</t>
        </is>
      </c>
    </row>
    <row r="14">
      <c r="B14" s="4" t="n">
        <v>9</v>
      </c>
      <c r="C14" s="5" t="inlineStr">
        <is>
          <t>مشروع الشركة الكيميائية الحديثة للخدمات (المويه)</t>
        </is>
      </c>
      <c r="D14" s="5" t="inlineStr">
        <is>
          <t>الشركة الكيميائية الحديثة للخدمات</t>
        </is>
      </c>
      <c r="E14" s="5" t="inlineStr">
        <is>
          <t>مؤسسة رئال الدولية للسلامة</t>
        </is>
      </c>
      <c r="F14" s="22" t="inlineStr">
        <is>
          <t>عرض توريد وتركيب مشروع الشركة الكيميائية الحديثة للخدمات.pdf</t>
        </is>
      </c>
      <c r="G14" s="9" t="n">
        <v>1503346</v>
      </c>
      <c r="H14" s="9" t="n">
        <v>96750</v>
      </c>
      <c r="I14" s="9" t="n">
        <v>0</v>
      </c>
      <c r="J14" s="9" t="n">
        <v>0</v>
      </c>
      <c r="K14" s="11">
        <f>SUM(G14:J14)</f>
        <v/>
      </c>
      <c r="L14" s="5" t="inlineStr">
        <is>
          <t>إجمالي العرض 1,600,096 ر.س يشمل شبكات إطفاء مائية وحنفيات ومعدات إنذار</t>
        </is>
      </c>
    </row>
    <row r="15">
      <c r="B15" s="12" t="n">
        <v>10</v>
      </c>
      <c r="C15" s="13" t="inlineStr">
        <is>
          <t>مشروع مستودعات ناصر البداح (حي السلي)</t>
        </is>
      </c>
      <c r="D15" s="13" t="inlineStr">
        <is>
          <t>مستودعات ناصر البداح (حي السلي - الرياض)</t>
        </is>
      </c>
      <c r="E15" s="13" t="inlineStr">
        <is>
          <t>مؤسسة رئال الدولية للمقاولات</t>
        </is>
      </c>
      <c r="F15" s="23" t="inlineStr">
        <is>
          <t>عرض سعر سيف.pdf / سيف.pdf</t>
        </is>
      </c>
      <c r="G15" s="14" t="n">
        <v>157590</v>
      </c>
      <c r="H15" s="14" t="n">
        <v>37460</v>
      </c>
      <c r="I15" s="14" t="n">
        <v>0</v>
      </c>
      <c r="J15" s="14" t="n">
        <v>0</v>
      </c>
      <c r="K15" s="11">
        <f>SUM(G15:J15)</f>
        <v/>
      </c>
      <c r="L15" s="5" t="inlineStr">
        <is>
          <t>إجمالي العرض 195,050 ر.س قبل الضريبة للمستودعين</t>
        </is>
      </c>
    </row>
    <row r="16">
      <c r="B16" s="4" t="n">
        <v>11</v>
      </c>
      <c r="C16" s="5" t="inlineStr">
        <is>
          <t>مشروع أبراج التعاونية</t>
        </is>
      </c>
      <c r="D16" s="5" t="inlineStr">
        <is>
          <t>إدارة مبنى أبراج التعاونية</t>
        </is>
      </c>
      <c r="E16" s="5" t="inlineStr">
        <is>
          <t>مؤسسة رئال الدولية للسلامة</t>
        </is>
      </c>
      <c r="F16" s="22" t="inlineStr">
        <is>
          <t>جدول الكميات الخاصة ببرج التعاونية 4.pdf</t>
        </is>
      </c>
      <c r="G16" s="9" t="n">
        <v>674636</v>
      </c>
      <c r="H16" s="9" t="n">
        <v>917373</v>
      </c>
      <c r="I16" s="9" t="n">
        <v>518908</v>
      </c>
      <c r="J16" s="9" t="n">
        <v>966450</v>
      </c>
      <c r="K16" s="11">
        <f>SUM(G16:J16)</f>
        <v/>
      </c>
      <c r="L16" s="5" t="inlineStr">
        <is>
          <t>إجمالي العرض النهائي 3,077,367 ر.س بعد التخفيض</t>
        </is>
      </c>
    </row>
    <row r="17">
      <c r="B17" s="12" t="n">
        <v>12</v>
      </c>
      <c r="C17" s="13" t="inlineStr">
        <is>
          <t>مشروع مستودع حي المناخ 2000م (أبو عبد الرحمن)</t>
        </is>
      </c>
      <c r="D17" s="13" t="inlineStr">
        <is>
          <t>أبو عبد الرحمن (مستودع حي المناخ)</t>
        </is>
      </c>
      <c r="E17" s="13" t="inlineStr">
        <is>
          <t>مؤسسة رئال الدولية للمقاولات</t>
        </is>
      </c>
      <c r="F17" s="23" t="inlineStr">
        <is>
          <t>ابو عبدالرحمن مستودع حي المناخ 2000م Estimate 1230FR_Q_85.pdf</t>
        </is>
      </c>
      <c r="G17" s="14" t="n">
        <v>1050325</v>
      </c>
      <c r="H17" s="14" t="n">
        <v>176985</v>
      </c>
      <c r="I17" s="14" t="n">
        <v>0</v>
      </c>
      <c r="J17" s="14" t="n">
        <v>0</v>
      </c>
      <c r="K17" s="11">
        <f>SUM(G17:J17)</f>
        <v/>
      </c>
      <c r="L17" s="5" t="inlineStr">
        <is>
          <t>الإجمالي قبل الضريبة 1,227,310 ر.س (1,411,406.50 ر.س شامل الضريبة 15%)</t>
        </is>
      </c>
    </row>
    <row r="18">
      <c r="B18" s="4" t="n">
        <v>13</v>
      </c>
      <c r="C18" s="5" t="inlineStr">
        <is>
          <t>مشروع حراج بن قاسم الجديد (فهد أبو بدر)</t>
        </is>
      </c>
      <c r="D18" s="5" t="inlineStr">
        <is>
          <t>فهد أبو بدر (حراج بن قاسم الجديد)</t>
        </is>
      </c>
      <c r="E18" s="5" t="inlineStr">
        <is>
          <t>مؤسسة رئال الدولية للمقاولات</t>
        </is>
      </c>
      <c r="F18" s="22" t="inlineStr">
        <is>
          <t>فهد ابو بدر حراج بن قاسم الجديد Estimate 1230FR_Q_86.pdf</t>
        </is>
      </c>
      <c r="G18" s="9" t="n">
        <v>58524.5</v>
      </c>
      <c r="H18" s="9" t="n">
        <v>39965.5</v>
      </c>
      <c r="I18" s="9" t="n">
        <v>0</v>
      </c>
      <c r="J18" s="9" t="n">
        <v>0</v>
      </c>
      <c r="K18" s="11">
        <f>SUM(G18:J18)</f>
        <v/>
      </c>
      <c r="L18" s="5" t="inlineStr">
        <is>
          <t>الإجمالي قبل الضريبة 98,490 ر.س (113,263.50 ر.س شامل الضريبة 15%)</t>
        </is>
      </c>
    </row>
    <row r="19">
      <c r="B19" s="12" t="n">
        <v>14</v>
      </c>
      <c r="C19" s="13" t="inlineStr">
        <is>
          <t>مشروع عمارة تجارية</t>
        </is>
      </c>
      <c r="D19" s="13" t="inlineStr">
        <is>
          <t>مشروع عمارة تجارية</t>
        </is>
      </c>
      <c r="E19" s="13" t="inlineStr">
        <is>
          <t>مؤسسة رئال الدولية للمقاولات</t>
        </is>
      </c>
      <c r="F19" s="23" t="inlineStr">
        <is>
          <t>عمارة تجارية Estimate 1230FR_Q_90 (3..6).pdf</t>
        </is>
      </c>
      <c r="G19" s="14" t="n">
        <v>131057</v>
      </c>
      <c r="H19" s="14" t="n">
        <v>60868</v>
      </c>
      <c r="I19" s="14" t="n">
        <v>0</v>
      </c>
      <c r="J19" s="14" t="n">
        <v>0</v>
      </c>
      <c r="K19" s="11">
        <f>SUM(G19:J19)</f>
        <v/>
      </c>
      <c r="L19" s="5" t="inlineStr">
        <is>
          <t>الإجمالي قبل الضريبة 191,925 ر.س (220,713.75 ر.س شامل الضريبة 15%)</t>
        </is>
      </c>
    </row>
    <row r="20">
      <c r="B20" s="4" t="n">
        <v>15</v>
      </c>
      <c r="C20" s="5" t="inlineStr">
        <is>
          <t>شركة أضواء الخيالة (تقرير مواد إنذار)</t>
        </is>
      </c>
      <c r="D20" s="5" t="inlineStr">
        <is>
          <t>شركة أضواء الخيالة</t>
        </is>
      </c>
      <c r="E20" s="5" t="inlineStr">
        <is>
          <t>قسم الإنذار</t>
        </is>
      </c>
      <c r="F20" s="22" t="inlineStr">
        <is>
          <t>تقرير مواد الأنذار-شركة اضواء الخيالة.pdf</t>
        </is>
      </c>
      <c r="G20" s="9" t="n">
        <v>0</v>
      </c>
      <c r="H20" s="9" t="n">
        <v>820709.11</v>
      </c>
      <c r="I20" s="9" t="n">
        <v>0</v>
      </c>
      <c r="J20" s="9" t="n">
        <v>0</v>
      </c>
      <c r="K20" s="11">
        <f>SUM(G20:J20)</f>
        <v/>
      </c>
      <c r="L20" s="5" t="inlineStr">
        <is>
          <t>مواد وأجهزة إنذار حريق فقط بقيمة 820,709.11 ر.س</t>
        </is>
      </c>
    </row>
    <row r="21">
      <c r="B21" s="12" t="n">
        <v>16</v>
      </c>
      <c r="C21" s="13" t="inlineStr">
        <is>
          <t>مشروع مصنع الصناعية الثالثة (مصنع اليراوي)</t>
        </is>
      </c>
      <c r="D21" s="13" t="inlineStr">
        <is>
          <t>مصنع اليراوي / المهندس ساجد دعبس</t>
        </is>
      </c>
      <c r="E21" s="13" t="inlineStr">
        <is>
          <t>مؤسسة أنوار العمران للمقاولات</t>
        </is>
      </c>
      <c r="F21" s="23" t="inlineStr">
        <is>
          <t>عرض مصنع الصناعية.pdf</t>
        </is>
      </c>
      <c r="G21" s="14" t="n">
        <v>25490</v>
      </c>
      <c r="H21" s="14" t="n">
        <v>20000</v>
      </c>
      <c r="I21" s="14" t="n">
        <v>0</v>
      </c>
      <c r="J21" s="14" t="n">
        <v>0</v>
      </c>
      <c r="K21" s="11">
        <f>SUM(G21:J21)</f>
        <v/>
      </c>
      <c r="L21" s="5" t="inlineStr">
        <is>
          <t>إجمالي العرض 45,490 ر.س غير شامل الضريبة (إنذار ورش آلي وتراخيص)</t>
        </is>
      </c>
    </row>
    <row r="22">
      <c r="B22" s="4" t="n">
        <v>17</v>
      </c>
      <c r="C22" s="5" t="inlineStr">
        <is>
          <t>مشروع مستودعات الموسى (غرف التبريد)</t>
        </is>
      </c>
      <c r="D22" s="5" t="inlineStr">
        <is>
          <t>مستودعات الموسى (الرياض)</t>
        </is>
      </c>
      <c r="E22" s="5" t="inlineStr">
        <is>
          <t>عبد المجيد</t>
        </is>
      </c>
      <c r="F22" s="22" t="inlineStr">
        <is>
          <t>Abdul Majeed.pdf</t>
        </is>
      </c>
      <c r="G22" s="9" t="n">
        <v>150000</v>
      </c>
      <c r="H22" s="9" t="n">
        <v>155100</v>
      </c>
      <c r="I22" s="9" t="n">
        <v>0</v>
      </c>
      <c r="J22" s="9" t="n">
        <v>0</v>
      </c>
      <c r="K22" s="11">
        <f>SUM(G22:J22)</f>
        <v/>
      </c>
      <c r="L22" s="5" t="inlineStr">
        <is>
          <t>إجمالي العرض 305,100 ر.س لتوريد وتركيب نظام الإطفاء والإنذار بغرف التبريد</t>
        </is>
      </c>
    </row>
    <row r="23">
      <c r="B23" s="12" t="n">
        <v>18</v>
      </c>
      <c r="C23" s="13" t="inlineStr">
        <is>
          <t>تسعيرة أعمال التهوية وسحب الدخان المنفصلة</t>
        </is>
      </c>
      <c r="D23" s="13" t="inlineStr">
        <is>
          <t>مشروع عام تهوية</t>
        </is>
      </c>
      <c r="E23" s="13" t="inlineStr">
        <is>
          <t>قسم التهوية والتكييف</t>
        </is>
      </c>
      <c r="F23" s="23" t="inlineStr">
        <is>
          <t>تسعيرة التهوية وسحب الدخان.pdf</t>
        </is>
      </c>
      <c r="G23" s="14" t="n">
        <v>0</v>
      </c>
      <c r="H23" s="14" t="n">
        <v>0</v>
      </c>
      <c r="I23" s="14" t="n">
        <v>1118040</v>
      </c>
      <c r="J23" s="14" t="n">
        <v>0</v>
      </c>
      <c r="K23" s="11">
        <f>SUM(G23:J23)</f>
        <v/>
      </c>
      <c r="L23" s="5" t="inlineStr">
        <is>
          <t>عرض منفصل لمراوح سحب الدخان والفريش وتضغيط السلالم والدكت والجريلات</t>
        </is>
      </c>
    </row>
    <row r="24">
      <c r="B24" s="15" t="inlineStr"/>
      <c r="C24" s="16" t="inlineStr">
        <is>
          <t>الإجمالي الكلي</t>
        </is>
      </c>
      <c r="G24" s="17">
        <f>SUM(G6:G23)</f>
        <v/>
      </c>
      <c r="H24" s="17">
        <f>SUM(H6:H23)</f>
        <v/>
      </c>
      <c r="I24" s="17">
        <f>SUM(I6:I23)</f>
        <v/>
      </c>
      <c r="J24" s="17">
        <f>SUM(J6:J23)</f>
        <v/>
      </c>
      <c r="K24" s="17">
        <f>SUM(K6:K23)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2026-09-12T02:49:54Z</dcterms:created>
  <dcterms:modified xmlns:dcterms="http://purl.org/dc/terms/" xmlns:xsi="http://www.w3.org/2001/XMLSchema-instance" xsi:type="dcterms:W3CDTF">2026-09-12T02:49:54Z</dcterms:modified>
</cp:coreProperties>
</file>